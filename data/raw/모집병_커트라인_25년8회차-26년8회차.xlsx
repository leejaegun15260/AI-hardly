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ja\OneDrive\바탕 화면\"/>
    </mc:Choice>
  </mc:AlternateContent>
  <xr:revisionPtr revIDLastSave="0" documentId="13_ncr:1_{650B60D1-6631-4F25-8068-DB763ADC3BBE}" xr6:coauthVersionLast="47" xr6:coauthVersionMax="47" xr10:uidLastSave="{00000000-0000-0000-0000-000000000000}"/>
  <bookViews>
    <workbookView xWindow="-108" yWindow="-108" windowWidth="23256" windowHeight="13176" activeTab="3" xr2:uid="{B14B5445-86D7-4AFF-8B33-C427028AAABB}"/>
  </bookViews>
  <sheets>
    <sheet name="해군" sheetId="1" r:id="rId1"/>
    <sheet name="공군" sheetId="2" r:id="rId2"/>
    <sheet name="해병대" sheetId="3" r:id="rId3"/>
    <sheet name="육군" sheetId="4" r:id="rId4"/>
  </sheets>
  <definedNames>
    <definedName name="_xlnm._FilterDatabase" localSheetId="3" hidden="1">육군!$A$1:$A$610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3" i="4" l="1" a="1"/>
  <c r="B12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3" i="4" a="1"/>
  <c r="B3" i="4" s="1"/>
</calcChain>
</file>

<file path=xl/sharedStrings.xml><?xml version="1.0" encoding="utf-8"?>
<sst xmlns="http://schemas.openxmlformats.org/spreadsheetml/2006/main" count="1185" uniqueCount="249">
  <si>
    <t>25년 9회차</t>
    <phoneticPr fontId="1" type="noConversion"/>
  </si>
  <si>
    <t>25년 8회차</t>
    <phoneticPr fontId="1" type="noConversion"/>
  </si>
  <si>
    <t>25년 10회차</t>
    <phoneticPr fontId="1" type="noConversion"/>
  </si>
  <si>
    <t>25년 11회차</t>
    <phoneticPr fontId="1" type="noConversion"/>
  </si>
  <si>
    <t>25년 12회차</t>
    <phoneticPr fontId="1" type="noConversion"/>
  </si>
  <si>
    <t>26년 1회차</t>
    <phoneticPr fontId="1" type="noConversion"/>
  </si>
  <si>
    <t>25. 11월</t>
    <phoneticPr fontId="1" type="noConversion"/>
  </si>
  <si>
    <t>25. 12월</t>
    <phoneticPr fontId="1" type="noConversion"/>
  </si>
  <si>
    <t>26. 1월</t>
    <phoneticPr fontId="1" type="noConversion"/>
  </si>
  <si>
    <t>26. 2월</t>
    <phoneticPr fontId="1" type="noConversion"/>
  </si>
  <si>
    <t>26. 3월</t>
    <phoneticPr fontId="1" type="noConversion"/>
  </si>
  <si>
    <t>26. 4월</t>
    <phoneticPr fontId="1" type="noConversion"/>
  </si>
  <si>
    <t>26. 5월</t>
    <phoneticPr fontId="1" type="noConversion"/>
  </si>
  <si>
    <t>26. 6월</t>
    <phoneticPr fontId="1" type="noConversion"/>
  </si>
  <si>
    <t>26년 2회차</t>
    <phoneticPr fontId="1" type="noConversion"/>
  </si>
  <si>
    <t>26년 3회차</t>
    <phoneticPr fontId="1" type="noConversion"/>
  </si>
  <si>
    <t>일반기술</t>
    <phoneticPr fontId="1" type="noConversion"/>
  </si>
  <si>
    <t>전문기술</t>
    <phoneticPr fontId="1" type="noConversion"/>
  </si>
  <si>
    <t>일반</t>
    <phoneticPr fontId="1" type="noConversion"/>
  </si>
  <si>
    <t>전산</t>
    <phoneticPr fontId="1" type="noConversion"/>
  </si>
  <si>
    <t>조리</t>
    <phoneticPr fontId="1" type="noConversion"/>
  </si>
  <si>
    <t>항공</t>
    <phoneticPr fontId="1" type="noConversion"/>
  </si>
  <si>
    <t>전자</t>
    <phoneticPr fontId="1" type="noConversion"/>
  </si>
  <si>
    <t>정보통신</t>
    <phoneticPr fontId="1" type="noConversion"/>
  </si>
  <si>
    <t>기관</t>
    <phoneticPr fontId="1" type="noConversion"/>
  </si>
  <si>
    <t>화생방</t>
    <phoneticPr fontId="1" type="noConversion"/>
  </si>
  <si>
    <t>전기</t>
    <phoneticPr fontId="1" type="noConversion"/>
  </si>
  <si>
    <t>수송</t>
    <phoneticPr fontId="1" type="noConversion"/>
  </si>
  <si>
    <t>의무</t>
    <phoneticPr fontId="1" type="noConversion"/>
  </si>
  <si>
    <t>갑판</t>
    <phoneticPr fontId="1" type="noConversion"/>
  </si>
  <si>
    <t>군사경찰</t>
    <phoneticPr fontId="1" type="noConversion"/>
  </si>
  <si>
    <t>동반입대</t>
    <phoneticPr fontId="1" type="noConversion"/>
  </si>
  <si>
    <t>복무지역(1함대)</t>
    <phoneticPr fontId="1" type="noConversion"/>
  </si>
  <si>
    <t>복무지역(2함대)</t>
    <phoneticPr fontId="1" type="noConversion"/>
  </si>
  <si>
    <t>작전사(진해, 부산, 제주)</t>
    <phoneticPr fontId="1" type="noConversion"/>
  </si>
  <si>
    <t>건축토목</t>
    <phoneticPr fontId="1" type="noConversion"/>
  </si>
  <si>
    <t>-</t>
    <phoneticPr fontId="1" type="noConversion"/>
  </si>
  <si>
    <t>26년 4회차</t>
    <phoneticPr fontId="1" type="noConversion"/>
  </si>
  <si>
    <t>모집없음</t>
    <phoneticPr fontId="1" type="noConversion"/>
  </si>
  <si>
    <t>26년 5회차</t>
    <phoneticPr fontId="1" type="noConversion"/>
  </si>
  <si>
    <t>26년 6회차</t>
    <phoneticPr fontId="1" type="noConversion"/>
  </si>
  <si>
    <t>26. 8월</t>
    <phoneticPr fontId="1" type="noConversion"/>
  </si>
  <si>
    <t>26. 9월</t>
    <phoneticPr fontId="1" type="noConversion"/>
  </si>
  <si>
    <t>26년 7회차</t>
    <phoneticPr fontId="1" type="noConversion"/>
  </si>
  <si>
    <t>26년 8회차</t>
    <phoneticPr fontId="1" type="noConversion"/>
  </si>
  <si>
    <t>26. 10월</t>
    <phoneticPr fontId="1" type="noConversion"/>
  </si>
  <si>
    <t xml:space="preserve"> </t>
    <phoneticPr fontId="1" type="noConversion"/>
  </si>
  <si>
    <t>26. 7월</t>
    <phoneticPr fontId="1" type="noConversion"/>
  </si>
  <si>
    <t>26. 11월</t>
    <phoneticPr fontId="1" type="noConversion"/>
  </si>
  <si>
    <t>전자계산</t>
    <phoneticPr fontId="1" type="noConversion"/>
  </si>
  <si>
    <t>기계</t>
    <phoneticPr fontId="1" type="noConversion"/>
  </si>
  <si>
    <t>차량운전</t>
    <phoneticPr fontId="1" type="noConversion"/>
  </si>
  <si>
    <t>차량정비</t>
    <phoneticPr fontId="1" type="noConversion"/>
  </si>
  <si>
    <t>통신전자전기</t>
    <phoneticPr fontId="1" type="noConversion"/>
  </si>
  <si>
    <t>수색</t>
    <phoneticPr fontId="1" type="noConversion"/>
  </si>
  <si>
    <t>화학</t>
    <phoneticPr fontId="1" type="noConversion"/>
  </si>
  <si>
    <t>공병</t>
    <phoneticPr fontId="1" type="noConversion"/>
  </si>
  <si>
    <t>무기정비</t>
    <phoneticPr fontId="1" type="noConversion"/>
  </si>
  <si>
    <t>직계가족</t>
    <phoneticPr fontId="1" type="noConversion"/>
  </si>
  <si>
    <t>방공레이더운용/정비</t>
    <phoneticPr fontId="1" type="noConversion"/>
  </si>
  <si>
    <t>신호정보/전자전운용</t>
    <phoneticPr fontId="1" type="noConversion"/>
  </si>
  <si>
    <t>감시장비운용</t>
    <phoneticPr fontId="1" type="noConversion"/>
  </si>
  <si>
    <t>야전공병</t>
    <phoneticPr fontId="1" type="noConversion"/>
  </si>
  <si>
    <t>장애물운용(M)</t>
    <phoneticPr fontId="1" type="noConversion"/>
  </si>
  <si>
    <t>소방장비</t>
    <phoneticPr fontId="1" type="noConversion"/>
  </si>
  <si>
    <t>배관/기계설비</t>
    <phoneticPr fontId="1" type="noConversion"/>
  </si>
  <si>
    <t>공기압축기운용</t>
    <phoneticPr fontId="1" type="noConversion"/>
  </si>
  <si>
    <t>크레인운용</t>
    <phoneticPr fontId="1" type="noConversion"/>
  </si>
  <si>
    <t>전술통신장비운용/정비</t>
    <phoneticPr fontId="1" type="noConversion"/>
  </si>
  <si>
    <t>무선전송장비운용/정비</t>
    <phoneticPr fontId="1" type="noConversion"/>
  </si>
  <si>
    <t>교환시설운용/정비</t>
    <phoneticPr fontId="1" type="noConversion"/>
  </si>
  <si>
    <t>암호운용</t>
    <phoneticPr fontId="1" type="noConversion"/>
  </si>
  <si>
    <t>K계열전차승무</t>
    <phoneticPr fontId="1" type="noConversion"/>
  </si>
  <si>
    <t>M계열전차승무</t>
    <phoneticPr fontId="1" type="noConversion"/>
  </si>
  <si>
    <t>K계열전차부대정비</t>
    <phoneticPr fontId="1" type="noConversion"/>
  </si>
  <si>
    <t>K계열전차포탑정비</t>
    <phoneticPr fontId="1" type="noConversion"/>
  </si>
  <si>
    <t>M계열전차부대정비</t>
    <phoneticPr fontId="1" type="noConversion"/>
  </si>
  <si>
    <t>M계열전차포탑정비</t>
    <phoneticPr fontId="1" type="noConversion"/>
  </si>
  <si>
    <t>전차통신정비</t>
    <phoneticPr fontId="1" type="noConversion"/>
  </si>
  <si>
    <t>장갑차조종</t>
    <phoneticPr fontId="1" type="noConversion"/>
  </si>
  <si>
    <t>장갑차부대정비</t>
    <phoneticPr fontId="1" type="noConversion"/>
  </si>
  <si>
    <t>K-21보병전투차량승무</t>
    <phoneticPr fontId="1" type="noConversion"/>
  </si>
  <si>
    <t>K-21보병전투차량부대정비</t>
    <phoneticPr fontId="1" type="noConversion"/>
  </si>
  <si>
    <t>견인포병</t>
    <phoneticPr fontId="1" type="noConversion"/>
  </si>
  <si>
    <t>155mm견인포병</t>
    <phoneticPr fontId="1" type="noConversion"/>
  </si>
  <si>
    <t>155mm자주포병</t>
    <phoneticPr fontId="1" type="noConversion"/>
  </si>
  <si>
    <t>K-55자주포조종</t>
    <phoneticPr fontId="1" type="noConversion"/>
  </si>
  <si>
    <t>견인포정비</t>
    <phoneticPr fontId="1" type="noConversion"/>
  </si>
  <si>
    <t>K-55자주포정비</t>
    <phoneticPr fontId="1" type="noConversion"/>
  </si>
  <si>
    <t>K-9자주포조종</t>
    <phoneticPr fontId="1" type="noConversion"/>
  </si>
  <si>
    <t>K-9자주포화포/장갑정비</t>
    <phoneticPr fontId="1" type="noConversion"/>
  </si>
  <si>
    <t>다련장운용/정비</t>
    <phoneticPr fontId="1" type="noConversion"/>
  </si>
  <si>
    <t>K239포병</t>
    <phoneticPr fontId="1" type="noConversion"/>
  </si>
  <si>
    <t>M/A포병</t>
    <phoneticPr fontId="1" type="noConversion"/>
  </si>
  <si>
    <t>M/A사격지휘전산</t>
    <phoneticPr fontId="1" type="noConversion"/>
  </si>
  <si>
    <t>K239사격지휘</t>
    <phoneticPr fontId="1" type="noConversion"/>
  </si>
  <si>
    <t>사격지휘</t>
    <phoneticPr fontId="1" type="noConversion"/>
  </si>
  <si>
    <t>155mm사격지휘</t>
    <phoneticPr fontId="1" type="noConversion"/>
  </si>
  <si>
    <t>로켓포사격지휘</t>
    <phoneticPr fontId="1" type="noConversion"/>
  </si>
  <si>
    <t>포병레이더</t>
    <phoneticPr fontId="1" type="noConversion"/>
  </si>
  <si>
    <t>포병측지</t>
    <phoneticPr fontId="1" type="noConversion"/>
  </si>
  <si>
    <t>포병탐지레이더</t>
    <phoneticPr fontId="1" type="noConversion"/>
  </si>
  <si>
    <t>자동측지운용/정비</t>
    <phoneticPr fontId="1" type="noConversion"/>
  </si>
  <si>
    <t>현무포병</t>
    <phoneticPr fontId="1" type="noConversion"/>
  </si>
  <si>
    <t>현무사격통제장비운용/정비</t>
    <phoneticPr fontId="1" type="noConversion"/>
  </si>
  <si>
    <t>포병기상</t>
    <phoneticPr fontId="1" type="noConversion"/>
  </si>
  <si>
    <t>발칸운용/정비</t>
    <phoneticPr fontId="1" type="noConversion"/>
  </si>
  <si>
    <t>오리콘운용/정비</t>
    <phoneticPr fontId="1" type="noConversion"/>
  </si>
  <si>
    <t>비호운용/정비</t>
    <phoneticPr fontId="1" type="noConversion"/>
  </si>
  <si>
    <t>방공작전통제</t>
    <phoneticPr fontId="1" type="noConversion"/>
  </si>
  <si>
    <t>휴대용유도무기운용/정비</t>
    <phoneticPr fontId="1" type="noConversion"/>
  </si>
  <si>
    <t>천마운용/정비</t>
    <phoneticPr fontId="1" type="noConversion"/>
  </si>
  <si>
    <t>천호운용/정비</t>
    <phoneticPr fontId="1" type="noConversion"/>
  </si>
  <si>
    <t>발칸정비</t>
    <phoneticPr fontId="1" type="noConversion"/>
  </si>
  <si>
    <t>오리콘정비</t>
    <phoneticPr fontId="1" type="noConversion"/>
  </si>
  <si>
    <t>비호정비</t>
    <phoneticPr fontId="1" type="noConversion"/>
  </si>
  <si>
    <t>천마정비</t>
    <phoneticPr fontId="1" type="noConversion"/>
  </si>
  <si>
    <t>군사정보</t>
    <phoneticPr fontId="1" type="noConversion"/>
  </si>
  <si>
    <t>심리전</t>
    <phoneticPr fontId="1" type="noConversion"/>
  </si>
  <si>
    <t>정찰</t>
    <phoneticPr fontId="1" type="noConversion"/>
  </si>
  <si>
    <t>전자전운용</t>
    <phoneticPr fontId="1" type="noConversion"/>
  </si>
  <si>
    <t>땅굴탐지</t>
    <phoneticPr fontId="1" type="noConversion"/>
  </si>
  <si>
    <t>보안</t>
    <phoneticPr fontId="1" type="noConversion"/>
  </si>
  <si>
    <t>무인항공정찰기운용</t>
    <phoneticPr fontId="1" type="noConversion"/>
  </si>
  <si>
    <t>장애물운용(E)</t>
    <phoneticPr fontId="1" type="noConversion"/>
  </si>
  <si>
    <t>야전건설</t>
    <phoneticPr fontId="1" type="noConversion"/>
  </si>
  <si>
    <t>측량</t>
    <phoneticPr fontId="1" type="noConversion"/>
  </si>
  <si>
    <t>전기설비</t>
    <phoneticPr fontId="1" type="noConversion"/>
  </si>
  <si>
    <t>장갑전투도저운전</t>
    <phoneticPr fontId="1" type="noConversion"/>
  </si>
  <si>
    <t>다목적굴착기운전</t>
    <phoneticPr fontId="1" type="noConversion"/>
  </si>
  <si>
    <t>교량전차조종</t>
    <phoneticPr fontId="1" type="noConversion"/>
  </si>
  <si>
    <t>도하장비조종</t>
    <phoneticPr fontId="1" type="noConversion"/>
  </si>
  <si>
    <t>정수장비운용</t>
    <phoneticPr fontId="1" type="noConversion"/>
  </si>
  <si>
    <t>전술교량운용</t>
    <phoneticPr fontId="1" type="noConversion"/>
  </si>
  <si>
    <t>도저운용</t>
    <phoneticPr fontId="1" type="noConversion"/>
  </si>
  <si>
    <t>그레이더운용</t>
    <phoneticPr fontId="1" type="noConversion"/>
  </si>
  <si>
    <t>롤러운용</t>
    <phoneticPr fontId="1" type="noConversion"/>
  </si>
  <si>
    <t>굴착기운용</t>
    <phoneticPr fontId="1" type="noConversion"/>
  </si>
  <si>
    <t>발전기운용/정비</t>
    <phoneticPr fontId="1" type="noConversion"/>
  </si>
  <si>
    <t>공병장비부대정비</t>
    <phoneticPr fontId="1" type="noConversion"/>
  </si>
  <si>
    <t>장애물개척전차조종</t>
    <phoneticPr fontId="1" type="noConversion"/>
  </si>
  <si>
    <t>무선장비운용/정비</t>
    <phoneticPr fontId="1" type="noConversion"/>
  </si>
  <si>
    <t>이동통신장비운용/정비</t>
    <phoneticPr fontId="1" type="noConversion"/>
  </si>
  <si>
    <t>정보통신망관리장비운용/정비</t>
    <phoneticPr fontId="1" type="noConversion"/>
  </si>
  <si>
    <t>영상음향장비운용/정비</t>
    <phoneticPr fontId="1" type="noConversion"/>
  </si>
  <si>
    <t>기록통신장비운용/정비</t>
    <phoneticPr fontId="1" type="noConversion"/>
  </si>
  <si>
    <t>MW운용/정비</t>
    <phoneticPr fontId="1" type="noConversion"/>
  </si>
  <si>
    <t>위성운용/정비</t>
    <phoneticPr fontId="1" type="noConversion"/>
  </si>
  <si>
    <t>레이다운용/정비</t>
    <phoneticPr fontId="1" type="noConversion"/>
  </si>
  <si>
    <t>네트워크운용/정비</t>
    <phoneticPr fontId="1" type="noConversion"/>
  </si>
  <si>
    <t>전술C4I운용/정비</t>
    <phoneticPr fontId="1" type="noConversion"/>
  </si>
  <si>
    <t>정보체계운용/정비</t>
    <phoneticPr fontId="1" type="noConversion"/>
  </si>
  <si>
    <t>항공운항/관제</t>
    <phoneticPr fontId="1" type="noConversion"/>
  </si>
  <si>
    <t>공격헬기정비</t>
    <phoneticPr fontId="1" type="noConversion"/>
  </si>
  <si>
    <t>중형공격헬기정비</t>
    <phoneticPr fontId="1" type="noConversion"/>
  </si>
  <si>
    <t>대형공격헬기정비</t>
    <phoneticPr fontId="1" type="noConversion"/>
  </si>
  <si>
    <t>기동헬기운용</t>
    <phoneticPr fontId="1" type="noConversion"/>
  </si>
  <si>
    <t>중형기동헬기정비</t>
    <phoneticPr fontId="1" type="noConversion"/>
  </si>
  <si>
    <t>대형기동헬기정비</t>
    <phoneticPr fontId="1" type="noConversion"/>
  </si>
  <si>
    <t>기동헬기정비</t>
    <phoneticPr fontId="1" type="noConversion"/>
  </si>
  <si>
    <t>헬기기관정비</t>
    <phoneticPr fontId="1" type="noConversion"/>
  </si>
  <si>
    <t>헬기계기정비</t>
    <phoneticPr fontId="1" type="noConversion"/>
  </si>
  <si>
    <t>헬기무장정비</t>
    <phoneticPr fontId="1" type="noConversion"/>
  </si>
  <si>
    <t>항공통신전자정비</t>
    <phoneticPr fontId="1" type="noConversion"/>
  </si>
  <si>
    <t>화생방</t>
    <phoneticPr fontId="1" type="noConversion"/>
  </si>
  <si>
    <t>연막</t>
    <phoneticPr fontId="1" type="noConversion"/>
  </si>
  <si>
    <t>화생방제독</t>
    <phoneticPr fontId="1" type="noConversion"/>
  </si>
  <si>
    <t>화생방정찰</t>
    <phoneticPr fontId="1" type="noConversion"/>
  </si>
  <si>
    <t>대공포/유도무기정비</t>
    <phoneticPr fontId="1" type="noConversion"/>
  </si>
  <si>
    <t>로켓무기정비</t>
    <phoneticPr fontId="1" type="noConversion"/>
  </si>
  <si>
    <t>유도무기정비</t>
    <phoneticPr fontId="1" type="noConversion"/>
  </si>
  <si>
    <t>총기정비</t>
    <phoneticPr fontId="1" type="noConversion"/>
  </si>
  <si>
    <t>화포정비</t>
    <phoneticPr fontId="1" type="noConversion"/>
  </si>
  <si>
    <t>광학기재정비</t>
    <phoneticPr fontId="1" type="noConversion"/>
  </si>
  <si>
    <t>감시장비정비</t>
    <phoneticPr fontId="1" type="noConversion"/>
  </si>
  <si>
    <t>전차정비</t>
    <phoneticPr fontId="1" type="noConversion"/>
  </si>
  <si>
    <t>K계열전차사격기재정비</t>
    <phoneticPr fontId="1" type="noConversion"/>
  </si>
  <si>
    <t>M계열전차정비</t>
    <phoneticPr fontId="1" type="noConversion"/>
  </si>
  <si>
    <t>M계열전차사격기재정비</t>
    <phoneticPr fontId="1" type="noConversion"/>
  </si>
  <si>
    <t>자주포야전정비</t>
    <phoneticPr fontId="1" type="noConversion"/>
  </si>
  <si>
    <t>K-9자주포정비</t>
    <phoneticPr fontId="1" type="noConversion"/>
  </si>
  <si>
    <t>유선장비정비</t>
    <phoneticPr fontId="1" type="noConversion"/>
  </si>
  <si>
    <t>기록통신장비정비</t>
    <phoneticPr fontId="1" type="noConversion"/>
  </si>
  <si>
    <t>무선장비정비</t>
    <phoneticPr fontId="1" type="noConversion"/>
  </si>
  <si>
    <t>다중무선장비정비</t>
    <phoneticPr fontId="1" type="noConversion"/>
  </si>
  <si>
    <t>BTCS정비</t>
    <phoneticPr fontId="1" type="noConversion"/>
  </si>
  <si>
    <t>특수통신장비정비</t>
    <phoneticPr fontId="1" type="noConversion"/>
  </si>
  <si>
    <t>전자전장비정비</t>
    <phoneticPr fontId="1" type="noConversion"/>
  </si>
  <si>
    <t>보안장비정비</t>
    <phoneticPr fontId="1" type="noConversion"/>
  </si>
  <si>
    <t>차량정비</t>
    <phoneticPr fontId="1" type="noConversion"/>
  </si>
  <si>
    <t>공병장비정비</t>
    <phoneticPr fontId="1" type="noConversion"/>
  </si>
  <si>
    <t>발전기정비</t>
    <phoneticPr fontId="1" type="noConversion"/>
  </si>
  <si>
    <t>용접/기계공작</t>
    <phoneticPr fontId="1" type="noConversion"/>
  </si>
  <si>
    <t>병참장비정비</t>
    <phoneticPr fontId="1" type="noConversion"/>
  </si>
  <si>
    <t>화생방장비정비</t>
    <phoneticPr fontId="1" type="noConversion"/>
  </si>
  <si>
    <t>의무장비정비</t>
    <phoneticPr fontId="1" type="noConversion"/>
  </si>
  <si>
    <t>탄약관리</t>
    <phoneticPr fontId="1" type="noConversion"/>
  </si>
  <si>
    <t>탄약검사</t>
    <phoneticPr fontId="1" type="noConversion"/>
  </si>
  <si>
    <t>탄약처리지원</t>
    <phoneticPr fontId="1" type="noConversion"/>
  </si>
  <si>
    <t>장비수리부속공구보급</t>
    <phoneticPr fontId="1" type="noConversion"/>
  </si>
  <si>
    <t>편성보급</t>
    <phoneticPr fontId="1" type="noConversion"/>
  </si>
  <si>
    <t>영현등록</t>
    <phoneticPr fontId="1" type="noConversion"/>
  </si>
  <si>
    <t>지원보급</t>
    <phoneticPr fontId="1" type="noConversion"/>
  </si>
  <si>
    <t>연료관리</t>
    <phoneticPr fontId="1" type="noConversion"/>
  </si>
  <si>
    <t>물자근무지원</t>
    <phoneticPr fontId="1" type="noConversion"/>
  </si>
  <si>
    <t>조리</t>
    <phoneticPr fontId="1" type="noConversion"/>
  </si>
  <si>
    <t>수송운용(차량운전)</t>
    <phoneticPr fontId="1" type="noConversion"/>
  </si>
  <si>
    <t>소형차량운전</t>
    <phoneticPr fontId="1" type="noConversion"/>
  </si>
  <si>
    <t>중형차량운전</t>
    <phoneticPr fontId="1" type="noConversion"/>
  </si>
  <si>
    <t>대형차량운전</t>
    <phoneticPr fontId="1" type="noConversion"/>
  </si>
  <si>
    <t>견인차량운전</t>
    <phoneticPr fontId="1" type="noConversion"/>
  </si>
  <si>
    <t>지게차운전</t>
    <phoneticPr fontId="1" type="noConversion"/>
  </si>
  <si>
    <t>차륜형장갑차운전</t>
    <phoneticPr fontId="1" type="noConversion"/>
  </si>
  <si>
    <t>차량부대정비</t>
    <phoneticPr fontId="1" type="noConversion"/>
  </si>
  <si>
    <t>K-53계열차량운전</t>
    <phoneticPr fontId="1" type="noConversion"/>
  </si>
  <si>
    <t>구난차량운전</t>
    <phoneticPr fontId="1" type="noConversion"/>
  </si>
  <si>
    <t>크레인차량운전</t>
    <phoneticPr fontId="1" type="noConversion"/>
  </si>
  <si>
    <t>전장이동통제</t>
    <phoneticPr fontId="1" type="noConversion"/>
  </si>
  <si>
    <t>항만운영</t>
    <phoneticPr fontId="1" type="noConversion"/>
  </si>
  <si>
    <t>선박운용</t>
    <phoneticPr fontId="1" type="noConversion"/>
  </si>
  <si>
    <t>일반행정</t>
    <phoneticPr fontId="1" type="noConversion"/>
  </si>
  <si>
    <t>군사경찰</t>
    <phoneticPr fontId="1" type="noConversion"/>
  </si>
  <si>
    <t>재정회계</t>
    <phoneticPr fontId="1" type="noConversion"/>
  </si>
  <si>
    <t>공보정훈</t>
    <phoneticPr fontId="1" type="noConversion"/>
  </si>
  <si>
    <t>영상제작</t>
    <phoneticPr fontId="1" type="noConversion"/>
  </si>
  <si>
    <t>사진운용/정비</t>
    <phoneticPr fontId="1" type="noConversion"/>
  </si>
  <si>
    <t>일반의무</t>
    <phoneticPr fontId="1" type="noConversion"/>
  </si>
  <si>
    <t>치과</t>
    <phoneticPr fontId="1" type="noConversion"/>
  </si>
  <si>
    <t>수의</t>
    <phoneticPr fontId="1" type="noConversion"/>
  </si>
  <si>
    <t>임상병리</t>
    <phoneticPr fontId="1" type="noConversion"/>
  </si>
  <si>
    <t>방사선촬영</t>
    <phoneticPr fontId="1" type="noConversion"/>
  </si>
  <si>
    <t>약제</t>
    <phoneticPr fontId="1" type="noConversion"/>
  </si>
  <si>
    <t>물리치료</t>
    <phoneticPr fontId="1" type="noConversion"/>
  </si>
  <si>
    <t>의무보급</t>
    <phoneticPr fontId="1" type="noConversion"/>
  </si>
  <si>
    <t>전문간호</t>
    <phoneticPr fontId="1" type="noConversion"/>
  </si>
  <si>
    <t>전문치과</t>
    <phoneticPr fontId="1" type="noConversion"/>
  </si>
  <si>
    <t>전문임상병리</t>
    <phoneticPr fontId="1" type="noConversion"/>
  </si>
  <si>
    <t>전문방사선촬영</t>
    <phoneticPr fontId="1" type="noConversion"/>
  </si>
  <si>
    <t>전문약제</t>
    <phoneticPr fontId="1" type="noConversion"/>
  </si>
  <si>
    <t>전문물리치료</t>
    <phoneticPr fontId="1" type="noConversion"/>
  </si>
  <si>
    <t>법무행정</t>
    <phoneticPr fontId="1" type="noConversion"/>
  </si>
  <si>
    <t>장갑차야전정비</t>
    <phoneticPr fontId="1" type="noConversion"/>
  </si>
  <si>
    <t>K-21보병전투차량정비</t>
    <phoneticPr fontId="1" type="noConversion"/>
  </si>
  <si>
    <t>163.110.</t>
    <phoneticPr fontId="1" type="noConversion"/>
  </si>
  <si>
    <t>도로포장장비운용</t>
    <phoneticPr fontId="1" type="noConversion"/>
  </si>
  <si>
    <t xml:space="preserve"> </t>
    <phoneticPr fontId="1" type="noConversion"/>
  </si>
  <si>
    <t>로더운전</t>
    <phoneticPr fontId="1" type="noConversion"/>
  </si>
  <si>
    <t>모집없음</t>
    <phoneticPr fontId="1" type="noConversion"/>
  </si>
  <si>
    <t>무작위 추첨으로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</si>
</sst>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0_ "/>
    <numFmt numFmtId="178" formatCode="###.###"/>
    <numFmt numFmtId="179" formatCode="0.000_);[Red]\(0.000\)"/>
    <numFmt numFmtId="180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 style="thin">
        <color indexed="64"/>
      </right>
      <top/>
      <bottom style="medium">
        <color indexed="64"/>
      </bottom>
      <diagonal style="medium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2" borderId="16" xfId="0" applyNumberFormat="1" applyFill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21" xfId="0" applyNumberForma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0" fillId="0" borderId="33" xfId="0" applyNumberFormat="1" applyBorder="1" applyAlignment="1">
      <alignment horizontal="center" vertical="center"/>
    </xf>
    <xf numFmtId="179" fontId="0" fillId="0" borderId="34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0" fontId="0" fillId="0" borderId="35" xfId="0" applyNumberFormat="1" applyBorder="1" applyAlignment="1">
      <alignment horizontal="center" vertical="center"/>
    </xf>
    <xf numFmtId="180" fontId="0" fillId="0" borderId="36" xfId="0" applyNumberFormat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77" fontId="0" fillId="0" borderId="37" xfId="0" applyNumberFormat="1" applyBorder="1" applyAlignment="1">
      <alignment horizontal="center" vertical="center"/>
    </xf>
    <xf numFmtId="177" fontId="0" fillId="0" borderId="39" xfId="0" applyNumberFormat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8" xfId="0" applyNumberFormat="1" applyBorder="1" applyAlignment="1">
      <alignment horizontal="center" vertical="center"/>
    </xf>
    <xf numFmtId="180" fontId="0" fillId="0" borderId="28" xfId="0" applyNumberFormat="1" applyBorder="1" applyAlignment="1">
      <alignment horizontal="center" vertical="center"/>
    </xf>
    <xf numFmtId="176" fontId="0" fillId="0" borderId="41" xfId="0" applyNumberFormat="1" applyBorder="1" applyAlignment="1">
      <alignment horizontal="center" vertical="center"/>
    </xf>
    <xf numFmtId="176" fontId="0" fillId="0" borderId="42" xfId="0" applyNumberFormat="1" applyBorder="1" applyAlignment="1">
      <alignment horizontal="center" vertical="center"/>
    </xf>
    <xf numFmtId="176" fontId="0" fillId="0" borderId="4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4D15-1797-4BDE-B617-384341A9AC2E}">
  <dimension ref="A1:O24"/>
  <sheetViews>
    <sheetView zoomScale="85" zoomScaleNormal="85" workbookViewId="0">
      <selection activeCell="G4" sqref="G4:J4 L4:O4 G7:J7 L7:O7 D16 C18:D19 M18 O18 N18:N19 D21 N21 C22:D22 K3:K22 O22 E23:K24"/>
    </sheetView>
  </sheetViews>
  <sheetFormatPr defaultRowHeight="17.399999999999999" x14ac:dyDescent="0.4"/>
  <cols>
    <col min="3" max="4" width="11.19921875" bestFit="1" customWidth="1"/>
    <col min="5" max="7" width="12.296875" bestFit="1" customWidth="1"/>
    <col min="8" max="15" width="11.19921875" bestFit="1" customWidth="1"/>
  </cols>
  <sheetData>
    <row r="1" spans="1:15" x14ac:dyDescent="0.4">
      <c r="A1" s="43" t="s">
        <v>46</v>
      </c>
      <c r="B1" s="44"/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  <c r="K1" s="1" t="s">
        <v>37</v>
      </c>
      <c r="L1" s="1" t="s">
        <v>39</v>
      </c>
      <c r="M1" s="1" t="s">
        <v>40</v>
      </c>
      <c r="N1" s="1" t="s">
        <v>43</v>
      </c>
      <c r="O1" s="2" t="s">
        <v>44</v>
      </c>
    </row>
    <row r="2" spans="1:15" ht="18" thickBot="1" x14ac:dyDescent="0.45">
      <c r="A2" s="45"/>
      <c r="B2" s="46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38</v>
      </c>
      <c r="L2" s="3" t="s">
        <v>41</v>
      </c>
      <c r="M2" s="3" t="s">
        <v>42</v>
      </c>
      <c r="N2" s="3" t="s">
        <v>42</v>
      </c>
      <c r="O2" s="4" t="s">
        <v>45</v>
      </c>
    </row>
    <row r="3" spans="1:15" ht="18" thickBot="1" x14ac:dyDescent="0.45">
      <c r="A3" s="6" t="s">
        <v>16</v>
      </c>
      <c r="B3" s="7" t="s">
        <v>18</v>
      </c>
      <c r="C3" s="20">
        <v>76</v>
      </c>
      <c r="D3" s="8">
        <v>76</v>
      </c>
      <c r="E3" s="8">
        <v>66</v>
      </c>
      <c r="F3" s="8">
        <v>67</v>
      </c>
      <c r="G3" s="8">
        <v>72</v>
      </c>
      <c r="H3" s="8">
        <v>74</v>
      </c>
      <c r="I3" s="8">
        <v>74</v>
      </c>
      <c r="J3" s="8">
        <v>73</v>
      </c>
      <c r="K3" s="9" t="s">
        <v>247</v>
      </c>
      <c r="L3" s="8">
        <v>64</v>
      </c>
      <c r="M3" s="8">
        <v>61</v>
      </c>
      <c r="N3" s="8">
        <v>60</v>
      </c>
      <c r="O3" s="10">
        <v>60</v>
      </c>
    </row>
    <row r="4" spans="1:15" x14ac:dyDescent="0.4">
      <c r="A4" s="47" t="s">
        <v>17</v>
      </c>
      <c r="B4" s="2" t="s">
        <v>19</v>
      </c>
      <c r="C4" s="21">
        <v>55</v>
      </c>
      <c r="D4" s="11">
        <v>59</v>
      </c>
      <c r="E4" s="11">
        <v>59</v>
      </c>
      <c r="F4" s="11">
        <v>57</v>
      </c>
      <c r="G4" s="11" t="s">
        <v>247</v>
      </c>
      <c r="H4" s="11" t="s">
        <v>247</v>
      </c>
      <c r="I4" s="11" t="s">
        <v>247</v>
      </c>
      <c r="J4" s="11" t="s">
        <v>247</v>
      </c>
      <c r="K4" s="12" t="s">
        <v>247</v>
      </c>
      <c r="L4" s="11" t="s">
        <v>247</v>
      </c>
      <c r="M4" s="11" t="s">
        <v>247</v>
      </c>
      <c r="N4" s="11" t="s">
        <v>247</v>
      </c>
      <c r="O4" s="13" t="s">
        <v>247</v>
      </c>
    </row>
    <row r="5" spans="1:15" x14ac:dyDescent="0.4">
      <c r="A5" s="48"/>
      <c r="B5" s="5" t="s">
        <v>20</v>
      </c>
      <c r="C5" s="22">
        <v>47</v>
      </c>
      <c r="D5" s="14">
        <v>50</v>
      </c>
      <c r="E5" s="14">
        <v>45</v>
      </c>
      <c r="F5" s="14">
        <v>42</v>
      </c>
      <c r="G5" s="14">
        <v>46</v>
      </c>
      <c r="H5" s="14">
        <v>44</v>
      </c>
      <c r="I5" s="14">
        <v>44</v>
      </c>
      <c r="J5" s="14">
        <v>43</v>
      </c>
      <c r="K5" s="15" t="s">
        <v>247</v>
      </c>
      <c r="L5" s="14">
        <v>45</v>
      </c>
      <c r="M5" s="14">
        <v>58</v>
      </c>
      <c r="N5" s="14">
        <v>41</v>
      </c>
      <c r="O5" s="16">
        <v>41</v>
      </c>
    </row>
    <row r="6" spans="1:15" x14ac:dyDescent="0.4">
      <c r="A6" s="48"/>
      <c r="B6" s="5" t="s">
        <v>21</v>
      </c>
      <c r="C6" s="22">
        <v>54</v>
      </c>
      <c r="D6" s="14">
        <v>60</v>
      </c>
      <c r="E6" s="14">
        <v>57</v>
      </c>
      <c r="F6" s="14">
        <v>61</v>
      </c>
      <c r="G6" s="14">
        <v>81</v>
      </c>
      <c r="H6" s="14">
        <v>76</v>
      </c>
      <c r="I6" s="14">
        <v>76</v>
      </c>
      <c r="J6" s="14">
        <v>76</v>
      </c>
      <c r="K6" s="15" t="s">
        <v>247</v>
      </c>
      <c r="L6" s="14">
        <v>67</v>
      </c>
      <c r="M6" s="14">
        <v>57</v>
      </c>
      <c r="N6" s="14">
        <v>47</v>
      </c>
      <c r="O6" s="16">
        <v>47</v>
      </c>
    </row>
    <row r="7" spans="1:15" x14ac:dyDescent="0.4">
      <c r="A7" s="48"/>
      <c r="B7" s="5" t="s">
        <v>22</v>
      </c>
      <c r="C7" s="22">
        <v>50</v>
      </c>
      <c r="D7" s="14">
        <v>46</v>
      </c>
      <c r="E7" s="14">
        <v>48</v>
      </c>
      <c r="F7" s="14">
        <v>50</v>
      </c>
      <c r="G7" s="14" t="s">
        <v>247</v>
      </c>
      <c r="H7" s="14" t="s">
        <v>247</v>
      </c>
      <c r="I7" s="14" t="s">
        <v>247</v>
      </c>
      <c r="J7" s="14" t="s">
        <v>247</v>
      </c>
      <c r="K7" s="15" t="s">
        <v>247</v>
      </c>
      <c r="L7" s="14" t="s">
        <v>247</v>
      </c>
      <c r="M7" s="14" t="s">
        <v>247</v>
      </c>
      <c r="N7" s="14" t="s">
        <v>247</v>
      </c>
      <c r="O7" s="16" t="s">
        <v>247</v>
      </c>
    </row>
    <row r="8" spans="1:15" x14ac:dyDescent="0.4">
      <c r="A8" s="48"/>
      <c r="B8" s="5" t="s">
        <v>23</v>
      </c>
      <c r="C8" s="22">
        <v>46</v>
      </c>
      <c r="D8" s="14">
        <v>46</v>
      </c>
      <c r="E8" s="14">
        <v>50</v>
      </c>
      <c r="F8" s="14">
        <v>51</v>
      </c>
      <c r="G8" s="14">
        <v>60</v>
      </c>
      <c r="H8" s="14">
        <v>58</v>
      </c>
      <c r="I8" s="14">
        <v>62</v>
      </c>
      <c r="J8" s="14">
        <v>57</v>
      </c>
      <c r="K8" s="15" t="s">
        <v>247</v>
      </c>
      <c r="L8" s="14">
        <v>52</v>
      </c>
      <c r="M8" s="14">
        <v>45</v>
      </c>
      <c r="N8" s="14">
        <v>40</v>
      </c>
      <c r="O8" s="16">
        <v>40</v>
      </c>
    </row>
    <row r="9" spans="1:15" x14ac:dyDescent="0.4">
      <c r="A9" s="48"/>
      <c r="B9" s="5" t="s">
        <v>24</v>
      </c>
      <c r="C9" s="22">
        <v>47</v>
      </c>
      <c r="D9" s="14">
        <v>47</v>
      </c>
      <c r="E9" s="14">
        <v>42</v>
      </c>
      <c r="F9" s="14">
        <v>43</v>
      </c>
      <c r="G9" s="14">
        <v>48</v>
      </c>
      <c r="H9" s="14">
        <v>51</v>
      </c>
      <c r="I9" s="14">
        <v>50</v>
      </c>
      <c r="J9" s="14">
        <v>44</v>
      </c>
      <c r="K9" s="15" t="s">
        <v>247</v>
      </c>
      <c r="L9" s="14">
        <v>45</v>
      </c>
      <c r="M9" s="14">
        <v>49</v>
      </c>
      <c r="N9" s="14">
        <v>40</v>
      </c>
      <c r="O9" s="16">
        <v>41</v>
      </c>
    </row>
    <row r="10" spans="1:15" x14ac:dyDescent="0.4">
      <c r="A10" s="48"/>
      <c r="B10" s="5" t="s">
        <v>25</v>
      </c>
      <c r="C10" s="22">
        <v>63</v>
      </c>
      <c r="D10" s="14">
        <v>59</v>
      </c>
      <c r="E10" s="14">
        <v>50</v>
      </c>
      <c r="F10" s="14">
        <v>56</v>
      </c>
      <c r="G10" s="14">
        <v>60</v>
      </c>
      <c r="H10" s="14">
        <v>58</v>
      </c>
      <c r="I10" s="14">
        <v>58</v>
      </c>
      <c r="J10" s="14">
        <v>60</v>
      </c>
      <c r="K10" s="15" t="s">
        <v>247</v>
      </c>
      <c r="L10" s="14">
        <v>57</v>
      </c>
      <c r="M10" s="14">
        <v>55</v>
      </c>
      <c r="N10" s="14">
        <v>51</v>
      </c>
      <c r="O10" s="16">
        <v>49</v>
      </c>
    </row>
    <row r="11" spans="1:15" x14ac:dyDescent="0.4">
      <c r="A11" s="48"/>
      <c r="B11" s="5" t="s">
        <v>26</v>
      </c>
      <c r="C11" s="22">
        <v>48</v>
      </c>
      <c r="D11" s="14">
        <v>59</v>
      </c>
      <c r="E11" s="14">
        <v>50</v>
      </c>
      <c r="F11" s="14">
        <v>50</v>
      </c>
      <c r="G11" s="14">
        <v>82</v>
      </c>
      <c r="H11" s="14">
        <v>75</v>
      </c>
      <c r="I11" s="14">
        <v>54</v>
      </c>
      <c r="J11" s="14">
        <v>54</v>
      </c>
      <c r="K11" s="15" t="s">
        <v>247</v>
      </c>
      <c r="L11" s="14">
        <v>50</v>
      </c>
      <c r="M11" s="14">
        <v>43</v>
      </c>
      <c r="N11" s="14">
        <v>40</v>
      </c>
      <c r="O11" s="16">
        <v>41</v>
      </c>
    </row>
    <row r="12" spans="1:15" x14ac:dyDescent="0.4">
      <c r="A12" s="48"/>
      <c r="B12" s="5" t="s">
        <v>35</v>
      </c>
      <c r="C12" s="22">
        <v>54</v>
      </c>
      <c r="D12" s="14">
        <v>49</v>
      </c>
      <c r="E12" s="14">
        <v>54</v>
      </c>
      <c r="F12" s="14">
        <v>55</v>
      </c>
      <c r="G12" s="14">
        <v>62</v>
      </c>
      <c r="H12" s="14">
        <v>73</v>
      </c>
      <c r="I12" s="14">
        <v>58</v>
      </c>
      <c r="J12" s="14">
        <v>58</v>
      </c>
      <c r="K12" s="15" t="s">
        <v>247</v>
      </c>
      <c r="L12" s="14">
        <v>57</v>
      </c>
      <c r="M12" s="14">
        <v>57</v>
      </c>
      <c r="N12" s="14">
        <v>46</v>
      </c>
      <c r="O12" s="16">
        <v>47</v>
      </c>
    </row>
    <row r="13" spans="1:15" x14ac:dyDescent="0.4">
      <c r="A13" s="48"/>
      <c r="B13" s="5" t="s">
        <v>27</v>
      </c>
      <c r="C13" s="22">
        <v>71</v>
      </c>
      <c r="D13" s="14">
        <v>72</v>
      </c>
      <c r="E13" s="14">
        <v>75</v>
      </c>
      <c r="F13" s="14">
        <v>76</v>
      </c>
      <c r="G13" s="14">
        <v>78</v>
      </c>
      <c r="H13" s="14">
        <v>74</v>
      </c>
      <c r="I13" s="14">
        <v>75</v>
      </c>
      <c r="J13" s="14">
        <v>75</v>
      </c>
      <c r="K13" s="15" t="s">
        <v>247</v>
      </c>
      <c r="L13" s="14">
        <v>72</v>
      </c>
      <c r="M13" s="14">
        <v>70</v>
      </c>
      <c r="N13" s="14">
        <v>65</v>
      </c>
      <c r="O13" s="16">
        <v>65</v>
      </c>
    </row>
    <row r="14" spans="1:15" ht="18" thickBot="1" x14ac:dyDescent="0.45">
      <c r="A14" s="49"/>
      <c r="B14" s="4" t="s">
        <v>28</v>
      </c>
      <c r="C14" s="23">
        <v>48</v>
      </c>
      <c r="D14" s="17">
        <v>49</v>
      </c>
      <c r="E14" s="17">
        <v>55</v>
      </c>
      <c r="F14" s="17">
        <v>57</v>
      </c>
      <c r="G14" s="17">
        <v>58</v>
      </c>
      <c r="H14" s="17">
        <v>59</v>
      </c>
      <c r="I14" s="17">
        <v>61</v>
      </c>
      <c r="J14" s="17">
        <v>57</v>
      </c>
      <c r="K14" s="18" t="s">
        <v>247</v>
      </c>
      <c r="L14" s="17">
        <v>56</v>
      </c>
      <c r="M14" s="17">
        <v>56</v>
      </c>
      <c r="N14" s="17">
        <v>41</v>
      </c>
      <c r="O14" s="19">
        <v>41</v>
      </c>
    </row>
    <row r="15" spans="1:15" x14ac:dyDescent="0.4">
      <c r="A15" s="47" t="s">
        <v>31</v>
      </c>
      <c r="B15" s="2" t="s">
        <v>29</v>
      </c>
      <c r="C15" s="21">
        <v>79</v>
      </c>
      <c r="D15" s="11">
        <v>79.5</v>
      </c>
      <c r="E15" s="11">
        <v>65</v>
      </c>
      <c r="F15" s="11">
        <v>69.5</v>
      </c>
      <c r="G15" s="11">
        <v>71</v>
      </c>
      <c r="H15" s="11">
        <v>67</v>
      </c>
      <c r="I15" s="11">
        <v>67.5</v>
      </c>
      <c r="J15" s="11">
        <v>62</v>
      </c>
      <c r="K15" s="12" t="s">
        <v>247</v>
      </c>
      <c r="L15" s="11">
        <v>61.5</v>
      </c>
      <c r="M15" s="11">
        <v>60</v>
      </c>
      <c r="N15" s="11">
        <v>70</v>
      </c>
      <c r="O15" s="13">
        <v>67</v>
      </c>
    </row>
    <row r="16" spans="1:15" ht="18" thickBot="1" x14ac:dyDescent="0.45">
      <c r="A16" s="49"/>
      <c r="B16" s="4" t="s">
        <v>30</v>
      </c>
      <c r="C16" s="23">
        <v>76.5</v>
      </c>
      <c r="D16" s="17" t="s">
        <v>247</v>
      </c>
      <c r="E16" s="17">
        <v>66.5</v>
      </c>
      <c r="F16" s="17">
        <v>66.5</v>
      </c>
      <c r="G16" s="17">
        <v>73</v>
      </c>
      <c r="H16" s="17">
        <v>68</v>
      </c>
      <c r="I16" s="17">
        <v>67</v>
      </c>
      <c r="J16" s="17">
        <v>62.5</v>
      </c>
      <c r="K16" s="18" t="s">
        <v>247</v>
      </c>
      <c r="L16" s="17">
        <v>60</v>
      </c>
      <c r="M16" s="17">
        <v>61</v>
      </c>
      <c r="N16" s="17">
        <v>60</v>
      </c>
      <c r="O16" s="19">
        <v>62.5</v>
      </c>
    </row>
    <row r="17" spans="1:15" x14ac:dyDescent="0.4">
      <c r="A17" s="50" t="s">
        <v>32</v>
      </c>
      <c r="B17" s="2" t="s">
        <v>18</v>
      </c>
      <c r="C17" s="21">
        <v>77</v>
      </c>
      <c r="D17" s="11">
        <v>76</v>
      </c>
      <c r="E17" s="11">
        <v>62</v>
      </c>
      <c r="F17" s="11">
        <v>66</v>
      </c>
      <c r="G17" s="11">
        <v>68</v>
      </c>
      <c r="H17" s="11">
        <v>73</v>
      </c>
      <c r="I17" s="11">
        <v>75</v>
      </c>
      <c r="J17" s="11">
        <v>67</v>
      </c>
      <c r="K17" s="12" t="s">
        <v>247</v>
      </c>
      <c r="L17" s="11">
        <v>60</v>
      </c>
      <c r="M17" s="11">
        <v>60</v>
      </c>
      <c r="N17" s="11">
        <v>60</v>
      </c>
      <c r="O17" s="13">
        <v>60</v>
      </c>
    </row>
    <row r="18" spans="1:15" x14ac:dyDescent="0.4">
      <c r="A18" s="51"/>
      <c r="B18" s="5" t="s">
        <v>20</v>
      </c>
      <c r="C18" s="22" t="s">
        <v>247</v>
      </c>
      <c r="D18" s="14" t="s">
        <v>247</v>
      </c>
      <c r="E18" s="14">
        <v>53</v>
      </c>
      <c r="F18" s="14" t="s">
        <v>36</v>
      </c>
      <c r="G18" s="14">
        <v>44</v>
      </c>
      <c r="H18" s="14">
        <v>41</v>
      </c>
      <c r="I18" s="14">
        <v>41</v>
      </c>
      <c r="J18" s="14">
        <v>40</v>
      </c>
      <c r="K18" s="15" t="s">
        <v>247</v>
      </c>
      <c r="L18" s="14">
        <v>41</v>
      </c>
      <c r="M18" s="14" t="s">
        <v>247</v>
      </c>
      <c r="N18" s="14" t="s">
        <v>247</v>
      </c>
      <c r="O18" s="16" t="s">
        <v>247</v>
      </c>
    </row>
    <row r="19" spans="1:15" ht="18" thickBot="1" x14ac:dyDescent="0.45">
      <c r="A19" s="52"/>
      <c r="B19" s="4" t="s">
        <v>24</v>
      </c>
      <c r="C19" s="23" t="s">
        <v>247</v>
      </c>
      <c r="D19" s="17" t="s">
        <v>247</v>
      </c>
      <c r="E19" s="17">
        <v>51</v>
      </c>
      <c r="F19" s="17">
        <v>46</v>
      </c>
      <c r="G19" s="17">
        <v>45</v>
      </c>
      <c r="H19" s="17">
        <v>41</v>
      </c>
      <c r="I19" s="17">
        <v>41</v>
      </c>
      <c r="J19" s="17">
        <v>41</v>
      </c>
      <c r="K19" s="18" t="s">
        <v>247</v>
      </c>
      <c r="L19" s="17">
        <v>52</v>
      </c>
      <c r="M19" s="17">
        <v>48</v>
      </c>
      <c r="N19" s="17" t="s">
        <v>247</v>
      </c>
      <c r="O19" s="19">
        <v>47</v>
      </c>
    </row>
    <row r="20" spans="1:15" x14ac:dyDescent="0.4">
      <c r="A20" s="50" t="s">
        <v>33</v>
      </c>
      <c r="B20" s="2" t="s">
        <v>18</v>
      </c>
      <c r="C20" s="21">
        <v>76</v>
      </c>
      <c r="D20" s="11">
        <v>76</v>
      </c>
      <c r="E20" s="11">
        <v>64</v>
      </c>
      <c r="F20" s="11">
        <v>64</v>
      </c>
      <c r="G20" s="11">
        <v>68</v>
      </c>
      <c r="H20" s="11">
        <v>67</v>
      </c>
      <c r="I20" s="11">
        <v>72</v>
      </c>
      <c r="J20" s="11">
        <v>60</v>
      </c>
      <c r="K20" s="12" t="s">
        <v>247</v>
      </c>
      <c r="L20" s="11">
        <v>60</v>
      </c>
      <c r="M20" s="11">
        <v>60</v>
      </c>
      <c r="N20" s="11">
        <v>62</v>
      </c>
      <c r="O20" s="13">
        <v>60</v>
      </c>
    </row>
    <row r="21" spans="1:15" x14ac:dyDescent="0.4">
      <c r="A21" s="51"/>
      <c r="B21" s="5" t="s">
        <v>20</v>
      </c>
      <c r="C21" s="22">
        <v>53</v>
      </c>
      <c r="D21" s="14" t="s">
        <v>247</v>
      </c>
      <c r="E21" s="14">
        <v>45</v>
      </c>
      <c r="F21" s="14">
        <v>46</v>
      </c>
      <c r="G21" s="14">
        <v>42</v>
      </c>
      <c r="H21" s="14">
        <v>41</v>
      </c>
      <c r="I21" s="14">
        <v>40</v>
      </c>
      <c r="J21" s="14">
        <v>40</v>
      </c>
      <c r="K21" s="15" t="s">
        <v>247</v>
      </c>
      <c r="L21" s="14">
        <v>44</v>
      </c>
      <c r="M21" s="14">
        <v>40</v>
      </c>
      <c r="N21" s="14" t="s">
        <v>247</v>
      </c>
      <c r="O21" s="16">
        <v>40</v>
      </c>
    </row>
    <row r="22" spans="1:15" ht="18" thickBot="1" x14ac:dyDescent="0.45">
      <c r="A22" s="52"/>
      <c r="B22" s="4" t="s">
        <v>24</v>
      </c>
      <c r="C22" s="23" t="s">
        <v>247</v>
      </c>
      <c r="D22" s="17" t="s">
        <v>247</v>
      </c>
      <c r="E22" s="17">
        <v>61</v>
      </c>
      <c r="F22" s="17">
        <v>43</v>
      </c>
      <c r="G22" s="17">
        <v>44</v>
      </c>
      <c r="H22" s="17">
        <v>42</v>
      </c>
      <c r="I22" s="17">
        <v>42</v>
      </c>
      <c r="J22" s="17">
        <v>44</v>
      </c>
      <c r="K22" s="18" t="s">
        <v>247</v>
      </c>
      <c r="L22" s="17">
        <v>41</v>
      </c>
      <c r="M22" s="17">
        <v>63</v>
      </c>
      <c r="N22" s="17">
        <v>56</v>
      </c>
      <c r="O22" s="19" t="s">
        <v>247</v>
      </c>
    </row>
    <row r="23" spans="1:15" x14ac:dyDescent="0.4">
      <c r="A23" s="50" t="s">
        <v>34</v>
      </c>
      <c r="B23" s="2" t="s">
        <v>20</v>
      </c>
      <c r="C23" s="21">
        <v>46</v>
      </c>
      <c r="D23" s="11">
        <v>49</v>
      </c>
      <c r="E23" s="11" t="s">
        <v>247</v>
      </c>
      <c r="F23" s="11" t="s">
        <v>247</v>
      </c>
      <c r="G23" s="11" t="s">
        <v>247</v>
      </c>
      <c r="H23" s="11" t="s">
        <v>247</v>
      </c>
      <c r="I23" s="11" t="s">
        <v>247</v>
      </c>
      <c r="J23" s="11" t="s">
        <v>247</v>
      </c>
      <c r="K23" s="12" t="s">
        <v>247</v>
      </c>
      <c r="L23" s="11">
        <v>41</v>
      </c>
      <c r="M23" s="11">
        <v>40</v>
      </c>
      <c r="N23" s="11">
        <v>40</v>
      </c>
      <c r="O23" s="13">
        <v>40</v>
      </c>
    </row>
    <row r="24" spans="1:15" ht="18" thickBot="1" x14ac:dyDescent="0.45">
      <c r="A24" s="52"/>
      <c r="B24" s="4" t="s">
        <v>24</v>
      </c>
      <c r="C24" s="23">
        <v>46</v>
      </c>
      <c r="D24" s="17">
        <v>46</v>
      </c>
      <c r="E24" s="17" t="s">
        <v>247</v>
      </c>
      <c r="F24" s="17" t="s">
        <v>247</v>
      </c>
      <c r="G24" s="17" t="s">
        <v>247</v>
      </c>
      <c r="H24" s="17" t="s">
        <v>247</v>
      </c>
      <c r="I24" s="17" t="s">
        <v>247</v>
      </c>
      <c r="J24" s="17" t="s">
        <v>247</v>
      </c>
      <c r="K24" s="18" t="s">
        <v>247</v>
      </c>
      <c r="L24" s="17">
        <v>41</v>
      </c>
      <c r="M24" s="17">
        <v>41</v>
      </c>
      <c r="N24" s="17">
        <v>41</v>
      </c>
      <c r="O24" s="19">
        <v>40</v>
      </c>
    </row>
  </sheetData>
  <mergeCells count="6">
    <mergeCell ref="A23:A24"/>
    <mergeCell ref="A1:B2"/>
    <mergeCell ref="A4:A14"/>
    <mergeCell ref="A15:A16"/>
    <mergeCell ref="A17:A19"/>
    <mergeCell ref="A20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7078-8691-4631-8995-7DAC8F9752E7}">
  <dimension ref="A1:O10"/>
  <sheetViews>
    <sheetView zoomScale="85" zoomScaleNormal="85" workbookViewId="0">
      <selection activeCell="K4" sqref="K4"/>
    </sheetView>
  </sheetViews>
  <sheetFormatPr defaultRowHeight="17.399999999999999" x14ac:dyDescent="0.4"/>
  <cols>
    <col min="2" max="2" width="13.19921875" bestFit="1" customWidth="1"/>
    <col min="3" max="4" width="11.19921875" bestFit="1" customWidth="1"/>
    <col min="5" max="7" width="12.296875" bestFit="1" customWidth="1"/>
    <col min="8" max="15" width="11.19921875" bestFit="1" customWidth="1"/>
  </cols>
  <sheetData>
    <row r="1" spans="1:15" x14ac:dyDescent="0.4">
      <c r="A1" s="43" t="s">
        <v>46</v>
      </c>
      <c r="B1" s="44"/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  <c r="K1" s="1" t="s">
        <v>37</v>
      </c>
      <c r="L1" s="1" t="s">
        <v>39</v>
      </c>
      <c r="M1" s="1" t="s">
        <v>40</v>
      </c>
      <c r="N1" s="1" t="s">
        <v>43</v>
      </c>
      <c r="O1" s="2" t="s">
        <v>44</v>
      </c>
    </row>
    <row r="2" spans="1:15" ht="18" thickBot="1" x14ac:dyDescent="0.45">
      <c r="A2" s="45"/>
      <c r="B2" s="46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47</v>
      </c>
      <c r="L2" s="3" t="s">
        <v>41</v>
      </c>
      <c r="M2" s="3" t="s">
        <v>42</v>
      </c>
      <c r="N2" s="3" t="s">
        <v>45</v>
      </c>
      <c r="O2" s="4" t="s">
        <v>48</v>
      </c>
    </row>
    <row r="3" spans="1:15" ht="18" thickBot="1" x14ac:dyDescent="0.45">
      <c r="A3" s="6" t="s">
        <v>16</v>
      </c>
      <c r="B3" s="7" t="s">
        <v>18</v>
      </c>
      <c r="C3" s="20">
        <v>89</v>
      </c>
      <c r="D3" s="8">
        <v>90</v>
      </c>
      <c r="E3" s="8">
        <v>76</v>
      </c>
      <c r="F3" s="8">
        <v>78</v>
      </c>
      <c r="G3" s="8">
        <v>78</v>
      </c>
      <c r="H3" s="8">
        <v>74</v>
      </c>
      <c r="I3" s="8">
        <v>74</v>
      </c>
      <c r="J3" s="8">
        <v>74</v>
      </c>
      <c r="K3" s="67" t="s">
        <v>248</v>
      </c>
      <c r="L3" s="68"/>
      <c r="M3" s="68"/>
      <c r="N3" s="68"/>
      <c r="O3" s="69"/>
    </row>
    <row r="4" spans="1:15" x14ac:dyDescent="0.4">
      <c r="A4" s="47" t="s">
        <v>17</v>
      </c>
      <c r="B4" s="2" t="s">
        <v>49</v>
      </c>
      <c r="C4" s="21">
        <v>100</v>
      </c>
      <c r="D4" s="11">
        <v>99</v>
      </c>
      <c r="E4" s="11">
        <v>88</v>
      </c>
      <c r="F4" s="11">
        <v>86</v>
      </c>
      <c r="G4" s="11">
        <v>85</v>
      </c>
      <c r="H4" s="11">
        <v>84</v>
      </c>
      <c r="I4" s="11">
        <v>78</v>
      </c>
      <c r="J4" s="11">
        <v>69</v>
      </c>
      <c r="K4" s="11">
        <v>69</v>
      </c>
      <c r="L4" s="11">
        <v>78</v>
      </c>
      <c r="M4" s="11">
        <v>70</v>
      </c>
      <c r="N4" s="11">
        <v>86</v>
      </c>
      <c r="O4" s="13">
        <v>81</v>
      </c>
    </row>
    <row r="5" spans="1:15" x14ac:dyDescent="0.4">
      <c r="A5" s="48"/>
      <c r="B5" s="5" t="s">
        <v>25</v>
      </c>
      <c r="C5" s="22">
        <v>60</v>
      </c>
      <c r="D5" s="14">
        <v>59</v>
      </c>
      <c r="E5" s="14">
        <v>63</v>
      </c>
      <c r="F5" s="14">
        <v>82</v>
      </c>
      <c r="G5" s="14">
        <v>83</v>
      </c>
      <c r="H5" s="14">
        <v>80</v>
      </c>
      <c r="I5" s="14">
        <v>79</v>
      </c>
      <c r="J5" s="14">
        <v>65</v>
      </c>
      <c r="K5" s="14">
        <v>62</v>
      </c>
      <c r="L5" s="14">
        <v>65</v>
      </c>
      <c r="M5" s="14">
        <v>63</v>
      </c>
      <c r="N5" s="14">
        <v>52</v>
      </c>
      <c r="O5" s="16">
        <v>51</v>
      </c>
    </row>
    <row r="6" spans="1:15" x14ac:dyDescent="0.4">
      <c r="A6" s="48"/>
      <c r="B6" s="5" t="s">
        <v>28</v>
      </c>
      <c r="C6" s="22">
        <v>104</v>
      </c>
      <c r="D6" s="14">
        <v>106</v>
      </c>
      <c r="E6" s="14">
        <v>96</v>
      </c>
      <c r="F6" s="14">
        <v>96</v>
      </c>
      <c r="G6" s="14">
        <v>101</v>
      </c>
      <c r="H6" s="14">
        <v>97</v>
      </c>
      <c r="I6" s="14">
        <v>96</v>
      </c>
      <c r="J6" s="14">
        <v>97</v>
      </c>
      <c r="K6" s="14">
        <v>96</v>
      </c>
      <c r="L6" s="14">
        <v>95</v>
      </c>
      <c r="M6" s="14">
        <v>94</v>
      </c>
      <c r="N6" s="14">
        <v>85</v>
      </c>
      <c r="O6" s="16">
        <v>83</v>
      </c>
    </row>
    <row r="7" spans="1:15" x14ac:dyDescent="0.4">
      <c r="A7" s="48"/>
      <c r="B7" s="5" t="s">
        <v>50</v>
      </c>
      <c r="C7" s="22">
        <v>46</v>
      </c>
      <c r="D7" s="14">
        <v>47</v>
      </c>
      <c r="E7" s="14">
        <v>59</v>
      </c>
      <c r="F7" s="14">
        <v>83</v>
      </c>
      <c r="G7" s="14">
        <v>88</v>
      </c>
      <c r="H7" s="14">
        <v>82</v>
      </c>
      <c r="I7" s="14">
        <v>78</v>
      </c>
      <c r="J7" s="14">
        <v>76</v>
      </c>
      <c r="K7" s="14">
        <v>77</v>
      </c>
      <c r="L7" s="14">
        <v>60</v>
      </c>
      <c r="M7" s="14">
        <v>54</v>
      </c>
      <c r="N7" s="14">
        <v>51</v>
      </c>
      <c r="O7" s="16">
        <v>46</v>
      </c>
    </row>
    <row r="8" spans="1:15" x14ac:dyDescent="0.4">
      <c r="A8" s="48"/>
      <c r="B8" s="5" t="s">
        <v>51</v>
      </c>
      <c r="C8" s="22">
        <v>83</v>
      </c>
      <c r="D8" s="14">
        <v>84</v>
      </c>
      <c r="E8" s="14">
        <v>79</v>
      </c>
      <c r="F8" s="14">
        <v>81</v>
      </c>
      <c r="G8" s="14">
        <v>81</v>
      </c>
      <c r="H8" s="14">
        <v>77</v>
      </c>
      <c r="I8" s="14">
        <v>77</v>
      </c>
      <c r="J8" s="14">
        <v>76</v>
      </c>
      <c r="K8" s="14">
        <v>75</v>
      </c>
      <c r="L8" s="14">
        <v>75</v>
      </c>
      <c r="M8" s="14">
        <v>75</v>
      </c>
      <c r="N8" s="14">
        <v>73</v>
      </c>
      <c r="O8" s="16">
        <v>71</v>
      </c>
    </row>
    <row r="9" spans="1:15" x14ac:dyDescent="0.4">
      <c r="A9" s="48"/>
      <c r="B9" s="5" t="s">
        <v>52</v>
      </c>
      <c r="C9" s="22">
        <v>54</v>
      </c>
      <c r="D9" s="14">
        <v>56</v>
      </c>
      <c r="E9" s="14">
        <v>55</v>
      </c>
      <c r="F9" s="14">
        <v>78</v>
      </c>
      <c r="G9" s="14">
        <v>82</v>
      </c>
      <c r="H9" s="14">
        <v>75</v>
      </c>
      <c r="I9" s="14">
        <v>74</v>
      </c>
      <c r="J9" s="14">
        <v>57</v>
      </c>
      <c r="K9" s="14">
        <v>55</v>
      </c>
      <c r="L9" s="14">
        <v>57</v>
      </c>
      <c r="M9" s="14">
        <v>54</v>
      </c>
      <c r="N9" s="14">
        <v>52</v>
      </c>
      <c r="O9" s="16">
        <v>47</v>
      </c>
    </row>
    <row r="10" spans="1:15" ht="18" thickBot="1" x14ac:dyDescent="0.45">
      <c r="A10" s="49"/>
      <c r="B10" s="4" t="s">
        <v>53</v>
      </c>
      <c r="C10" s="23">
        <v>46</v>
      </c>
      <c r="D10" s="17">
        <v>46</v>
      </c>
      <c r="E10" s="17">
        <v>78</v>
      </c>
      <c r="F10" s="17">
        <v>82</v>
      </c>
      <c r="G10" s="17">
        <v>83</v>
      </c>
      <c r="H10" s="17">
        <v>79</v>
      </c>
      <c r="I10" s="17">
        <v>78</v>
      </c>
      <c r="J10" s="17">
        <v>75</v>
      </c>
      <c r="K10" s="17">
        <v>73</v>
      </c>
      <c r="L10" s="17">
        <v>70</v>
      </c>
      <c r="M10" s="17">
        <v>54</v>
      </c>
      <c r="N10" s="17">
        <v>53</v>
      </c>
      <c r="O10" s="19">
        <v>50</v>
      </c>
    </row>
  </sheetData>
  <mergeCells count="3">
    <mergeCell ref="A1:B2"/>
    <mergeCell ref="A4:A10"/>
    <mergeCell ref="K3:O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05EA-5866-4174-B1E8-0417A2B7E19E}">
  <dimension ref="A1:O10"/>
  <sheetViews>
    <sheetView workbookViewId="0">
      <selection activeCell="D1" sqref="D1:O2"/>
    </sheetView>
  </sheetViews>
  <sheetFormatPr defaultRowHeight="17.399999999999999" x14ac:dyDescent="0.4"/>
  <cols>
    <col min="3" max="4" width="10.3984375" bestFit="1" customWidth="1"/>
    <col min="5" max="7" width="11.5" bestFit="1" customWidth="1"/>
    <col min="8" max="15" width="10.3984375" bestFit="1" customWidth="1"/>
  </cols>
  <sheetData>
    <row r="1" spans="1:15" x14ac:dyDescent="0.4">
      <c r="A1" s="43" t="s">
        <v>46</v>
      </c>
      <c r="B1" s="44"/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  <c r="K1" s="1" t="s">
        <v>37</v>
      </c>
      <c r="L1" s="1" t="s">
        <v>39</v>
      </c>
      <c r="M1" s="1" t="s">
        <v>40</v>
      </c>
      <c r="N1" s="1" t="s">
        <v>43</v>
      </c>
      <c r="O1" s="2" t="s">
        <v>44</v>
      </c>
    </row>
    <row r="2" spans="1:15" ht="18" thickBot="1" x14ac:dyDescent="0.45">
      <c r="A2" s="45"/>
      <c r="B2" s="46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47</v>
      </c>
      <c r="L2" s="3" t="s">
        <v>41</v>
      </c>
      <c r="M2" s="3" t="s">
        <v>41</v>
      </c>
      <c r="N2" s="3" t="s">
        <v>42</v>
      </c>
      <c r="O2" s="4" t="s">
        <v>45</v>
      </c>
    </row>
    <row r="3" spans="1:15" x14ac:dyDescent="0.4">
      <c r="A3" s="53" t="s">
        <v>16</v>
      </c>
      <c r="B3" s="26" t="s">
        <v>18</v>
      </c>
      <c r="C3" s="21">
        <v>60</v>
      </c>
      <c r="D3" s="11">
        <v>70</v>
      </c>
      <c r="E3" s="11">
        <v>62</v>
      </c>
      <c r="F3" s="11">
        <v>62</v>
      </c>
      <c r="G3" s="11">
        <v>67</v>
      </c>
      <c r="H3" s="11">
        <v>70</v>
      </c>
      <c r="I3" s="11">
        <v>67</v>
      </c>
      <c r="J3" s="11">
        <v>64</v>
      </c>
      <c r="K3" s="11">
        <v>63</v>
      </c>
      <c r="L3" s="11">
        <v>61</v>
      </c>
      <c r="M3" s="11">
        <v>60</v>
      </c>
      <c r="N3" s="11">
        <v>60</v>
      </c>
      <c r="O3" s="13">
        <v>60</v>
      </c>
    </row>
    <row r="4" spans="1:15" ht="18" thickBot="1" x14ac:dyDescent="0.45">
      <c r="A4" s="54"/>
      <c r="B4" s="27" t="s">
        <v>54</v>
      </c>
      <c r="C4" s="28">
        <v>86</v>
      </c>
      <c r="D4" s="29">
        <v>87</v>
      </c>
      <c r="E4" s="29">
        <v>79</v>
      </c>
      <c r="F4" s="29">
        <v>80</v>
      </c>
      <c r="G4" s="29">
        <v>81</v>
      </c>
      <c r="H4" s="29">
        <v>77</v>
      </c>
      <c r="I4" s="29">
        <v>78</v>
      </c>
      <c r="J4" s="29">
        <v>77</v>
      </c>
      <c r="K4" s="29">
        <v>80</v>
      </c>
      <c r="L4" s="29">
        <v>79</v>
      </c>
      <c r="M4" s="29">
        <v>79</v>
      </c>
      <c r="N4" s="29">
        <v>77</v>
      </c>
      <c r="O4" s="30">
        <v>75</v>
      </c>
    </row>
    <row r="5" spans="1:15" x14ac:dyDescent="0.4">
      <c r="A5" s="53" t="s">
        <v>17</v>
      </c>
      <c r="B5" s="26" t="s">
        <v>55</v>
      </c>
      <c r="C5" s="21">
        <v>53</v>
      </c>
      <c r="D5" s="11">
        <v>41</v>
      </c>
      <c r="E5" s="11">
        <v>46</v>
      </c>
      <c r="F5" s="11">
        <v>43</v>
      </c>
      <c r="G5" s="11">
        <v>43</v>
      </c>
      <c r="H5" s="11">
        <v>50</v>
      </c>
      <c r="I5" s="11">
        <v>49</v>
      </c>
      <c r="J5" s="11">
        <v>44</v>
      </c>
      <c r="K5" s="11">
        <v>42</v>
      </c>
      <c r="L5" s="11">
        <v>41</v>
      </c>
      <c r="M5" s="11">
        <v>42</v>
      </c>
      <c r="N5" s="11">
        <v>42</v>
      </c>
      <c r="O5" s="13">
        <v>41</v>
      </c>
    </row>
    <row r="6" spans="1:15" x14ac:dyDescent="0.4">
      <c r="A6" s="55"/>
      <c r="B6" s="31" t="s">
        <v>56</v>
      </c>
      <c r="C6" s="22">
        <v>41</v>
      </c>
      <c r="D6" s="14">
        <v>48</v>
      </c>
      <c r="E6" s="14">
        <v>43</v>
      </c>
      <c r="F6" s="14">
        <v>42</v>
      </c>
      <c r="G6" s="14">
        <v>42</v>
      </c>
      <c r="H6" s="14">
        <v>44</v>
      </c>
      <c r="I6" s="14">
        <v>48</v>
      </c>
      <c r="J6" s="14">
        <v>42</v>
      </c>
      <c r="K6" s="14">
        <v>42</v>
      </c>
      <c r="L6" s="14">
        <v>40</v>
      </c>
      <c r="M6" s="14">
        <v>40</v>
      </c>
      <c r="N6" s="14">
        <v>41</v>
      </c>
      <c r="O6" s="16">
        <v>41</v>
      </c>
    </row>
    <row r="7" spans="1:15" x14ac:dyDescent="0.4">
      <c r="A7" s="55"/>
      <c r="B7" s="31" t="s">
        <v>57</v>
      </c>
      <c r="C7" s="22">
        <v>45</v>
      </c>
      <c r="D7" s="14">
        <v>45</v>
      </c>
      <c r="E7" s="14">
        <v>42</v>
      </c>
      <c r="F7" s="14">
        <v>44</v>
      </c>
      <c r="G7" s="14">
        <v>42</v>
      </c>
      <c r="H7" s="14">
        <v>44</v>
      </c>
      <c r="I7" s="14">
        <v>51</v>
      </c>
      <c r="J7" s="14">
        <v>40</v>
      </c>
      <c r="K7" s="14">
        <v>40</v>
      </c>
      <c r="L7" s="14">
        <v>40</v>
      </c>
      <c r="M7" s="14">
        <v>41</v>
      </c>
      <c r="N7" s="14">
        <v>41</v>
      </c>
      <c r="O7" s="16">
        <v>47</v>
      </c>
    </row>
    <row r="8" spans="1:15" ht="18" thickBot="1" x14ac:dyDescent="0.45">
      <c r="A8" s="54"/>
      <c r="B8" s="32" t="s">
        <v>27</v>
      </c>
      <c r="C8" s="23">
        <v>66</v>
      </c>
      <c r="D8" s="17">
        <v>66</v>
      </c>
      <c r="E8" s="17">
        <v>67</v>
      </c>
      <c r="F8" s="17">
        <v>66</v>
      </c>
      <c r="G8" s="17">
        <v>70</v>
      </c>
      <c r="H8" s="17">
        <v>66</v>
      </c>
      <c r="I8" s="17">
        <v>67</v>
      </c>
      <c r="J8" s="17">
        <v>65</v>
      </c>
      <c r="K8" s="17">
        <v>61</v>
      </c>
      <c r="L8" s="17">
        <v>65</v>
      </c>
      <c r="M8" s="17">
        <v>65</v>
      </c>
      <c r="N8" s="17">
        <v>65</v>
      </c>
      <c r="O8" s="19">
        <v>60</v>
      </c>
    </row>
    <row r="9" spans="1:15" ht="18" thickBot="1" x14ac:dyDescent="0.45">
      <c r="A9" s="25" t="s">
        <v>16</v>
      </c>
      <c r="B9" s="24" t="s">
        <v>31</v>
      </c>
      <c r="C9" s="20">
        <v>65</v>
      </c>
      <c r="D9" s="8">
        <v>70</v>
      </c>
      <c r="E9" s="8">
        <v>62</v>
      </c>
      <c r="F9" s="8">
        <v>70.5</v>
      </c>
      <c r="G9" s="8">
        <v>66</v>
      </c>
      <c r="H9" s="8">
        <v>68.5</v>
      </c>
      <c r="I9" s="8">
        <v>67.5</v>
      </c>
      <c r="J9" s="8">
        <v>65.5</v>
      </c>
      <c r="K9" s="8">
        <v>63.5</v>
      </c>
      <c r="L9" s="8">
        <v>60.5</v>
      </c>
      <c r="M9" s="8">
        <v>60</v>
      </c>
      <c r="N9" s="8">
        <v>60</v>
      </c>
      <c r="O9" s="10">
        <v>61</v>
      </c>
    </row>
    <row r="10" spans="1:15" ht="18" thickBot="1" x14ac:dyDescent="0.45">
      <c r="A10" s="25" t="s">
        <v>16</v>
      </c>
      <c r="B10" s="33" t="s">
        <v>58</v>
      </c>
      <c r="C10" s="28">
        <v>70</v>
      </c>
      <c r="D10" s="29">
        <v>72</v>
      </c>
      <c r="E10" s="29">
        <v>65</v>
      </c>
      <c r="F10" s="29">
        <v>62</v>
      </c>
      <c r="G10" s="29">
        <v>60</v>
      </c>
      <c r="H10" s="29">
        <v>60</v>
      </c>
      <c r="I10" s="29">
        <v>60</v>
      </c>
      <c r="J10" s="29">
        <v>61</v>
      </c>
      <c r="K10" s="29">
        <v>60</v>
      </c>
      <c r="L10" s="29">
        <v>60</v>
      </c>
      <c r="M10" s="29">
        <v>60</v>
      </c>
      <c r="N10" s="29">
        <v>60</v>
      </c>
      <c r="O10" s="30">
        <v>60</v>
      </c>
    </row>
  </sheetData>
  <mergeCells count="3">
    <mergeCell ref="A1:B2"/>
    <mergeCell ref="A3:A4"/>
    <mergeCell ref="A5:A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759B-D6C5-434E-8AF9-0AB3C62240A4}">
  <dimension ref="A1:R611"/>
  <sheetViews>
    <sheetView tabSelected="1" topLeftCell="A116" workbookViewId="0">
      <selection activeCell="B137" sqref="B137"/>
    </sheetView>
  </sheetViews>
  <sheetFormatPr defaultRowHeight="17.399999999999999" x14ac:dyDescent="0.4"/>
  <cols>
    <col min="1" max="1" width="11.3984375" style="35" bestFit="1" customWidth="1"/>
    <col min="2" max="2" width="26.8984375" bestFit="1" customWidth="1"/>
    <col min="3" max="4" width="10.3984375" bestFit="1" customWidth="1"/>
    <col min="5" max="7" width="11.5" bestFit="1" customWidth="1"/>
    <col min="8" max="15" width="10.3984375" bestFit="1" customWidth="1"/>
  </cols>
  <sheetData>
    <row r="1" spans="1:18" x14ac:dyDescent="0.4">
      <c r="A1" s="62" t="s">
        <v>46</v>
      </c>
      <c r="B1" s="63"/>
      <c r="C1" s="1" t="s">
        <v>1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15</v>
      </c>
      <c r="K1" s="1" t="s">
        <v>37</v>
      </c>
      <c r="L1" s="1" t="s">
        <v>39</v>
      </c>
      <c r="M1" s="1" t="s">
        <v>40</v>
      </c>
      <c r="N1" s="1" t="s">
        <v>43</v>
      </c>
      <c r="O1" s="2" t="s">
        <v>44</v>
      </c>
    </row>
    <row r="2" spans="1:18" ht="18" thickBot="1" x14ac:dyDescent="0.45">
      <c r="A2" s="64"/>
      <c r="B2" s="65"/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47</v>
      </c>
      <c r="L2" s="3" t="s">
        <v>41</v>
      </c>
      <c r="M2" s="3" t="s">
        <v>42</v>
      </c>
      <c r="N2" s="3" t="s">
        <v>45</v>
      </c>
      <c r="O2" s="4" t="s">
        <v>48</v>
      </c>
      <c r="Q2">
        <v>121.101</v>
      </c>
      <c r="R2" t="s">
        <v>72</v>
      </c>
    </row>
    <row r="3" spans="1:18" x14ac:dyDescent="0.4">
      <c r="A3" s="41">
        <v>121.101</v>
      </c>
      <c r="B3" s="42" t="str">
        <f t="array" ref="B3">VLOOKUP(A3,$Q$2:$R$187,{2},0)</f>
        <v>K계열전차승무</v>
      </c>
      <c r="C3" s="56">
        <v>46</v>
      </c>
      <c r="D3" s="56" t="s">
        <v>247</v>
      </c>
      <c r="E3" s="56">
        <v>42</v>
      </c>
      <c r="F3" s="56">
        <v>51</v>
      </c>
      <c r="G3" s="56">
        <v>49</v>
      </c>
      <c r="H3" s="56">
        <v>49</v>
      </c>
      <c r="I3" s="56">
        <v>48</v>
      </c>
      <c r="J3" s="56">
        <v>44</v>
      </c>
      <c r="K3" s="56">
        <v>44</v>
      </c>
      <c r="L3" s="56">
        <v>41</v>
      </c>
      <c r="M3" s="56">
        <v>41</v>
      </c>
      <c r="N3" s="56">
        <v>40</v>
      </c>
      <c r="O3" s="57">
        <v>41</v>
      </c>
      <c r="Q3">
        <v>121.102</v>
      </c>
      <c r="R3" t="s">
        <v>73</v>
      </c>
    </row>
    <row r="4" spans="1:18" x14ac:dyDescent="0.4">
      <c r="A4" s="39">
        <v>121.102</v>
      </c>
      <c r="B4" s="38" t="str">
        <f t="array" ref="B4">VLOOKUP(A4,$Q$2:$R$187,{2},0)</f>
        <v>M계열전차승무</v>
      </c>
      <c r="C4" s="56" t="s">
        <v>247</v>
      </c>
      <c r="D4" s="56" t="s">
        <v>247</v>
      </c>
      <c r="E4" s="58">
        <v>43</v>
      </c>
      <c r="F4" s="58" t="s">
        <v>247</v>
      </c>
      <c r="G4" s="58" t="s">
        <v>247</v>
      </c>
      <c r="H4" s="58" t="s">
        <v>247</v>
      </c>
      <c r="I4" s="58" t="s">
        <v>247</v>
      </c>
      <c r="J4" s="58" t="s">
        <v>247</v>
      </c>
      <c r="K4" s="58">
        <v>42</v>
      </c>
      <c r="L4" s="58">
        <v>41</v>
      </c>
      <c r="M4" s="58" t="s">
        <v>247</v>
      </c>
      <c r="N4" s="58" t="s">
        <v>247</v>
      </c>
      <c r="O4" s="59" t="s">
        <v>247</v>
      </c>
      <c r="Q4">
        <v>122.101</v>
      </c>
      <c r="R4" t="s">
        <v>74</v>
      </c>
    </row>
    <row r="5" spans="1:18" x14ac:dyDescent="0.4">
      <c r="A5" s="39">
        <v>122.101</v>
      </c>
      <c r="B5" s="38" t="str">
        <f t="array" ref="B5">VLOOKUP(A5,$Q$2:$R$187,{2},0)</f>
        <v>K계열전차부대정비</v>
      </c>
      <c r="C5" s="56" t="s">
        <v>247</v>
      </c>
      <c r="D5" s="58">
        <v>58</v>
      </c>
      <c r="E5" s="58">
        <v>50</v>
      </c>
      <c r="F5" s="58" t="s">
        <v>247</v>
      </c>
      <c r="G5" s="58">
        <v>52</v>
      </c>
      <c r="H5" s="58">
        <v>54</v>
      </c>
      <c r="I5" s="58" t="s">
        <v>247</v>
      </c>
      <c r="J5" s="58" t="s">
        <v>247</v>
      </c>
      <c r="K5" s="58">
        <v>51</v>
      </c>
      <c r="L5" s="58">
        <v>48</v>
      </c>
      <c r="M5" s="58" t="s">
        <v>247</v>
      </c>
      <c r="N5" s="58">
        <v>43</v>
      </c>
      <c r="O5" s="59" t="s">
        <v>247</v>
      </c>
      <c r="Q5">
        <v>122.102</v>
      </c>
      <c r="R5" t="s">
        <v>75</v>
      </c>
    </row>
    <row r="6" spans="1:18" x14ac:dyDescent="0.4">
      <c r="A6" s="39">
        <v>123.101</v>
      </c>
      <c r="B6" s="38" t="str">
        <f t="array" ref="B6">VLOOKUP(A6,$Q$2:$R$187,{2},0)</f>
        <v>장갑차조종</v>
      </c>
      <c r="C6" s="38">
        <v>46</v>
      </c>
      <c r="D6" s="38" t="s">
        <v>247</v>
      </c>
      <c r="E6" s="38" t="s">
        <v>247</v>
      </c>
      <c r="F6" s="38" t="s">
        <v>247</v>
      </c>
      <c r="G6" s="38" t="s">
        <v>247</v>
      </c>
      <c r="H6" s="38" t="s">
        <v>247</v>
      </c>
      <c r="I6" s="38" t="s">
        <v>247</v>
      </c>
      <c r="J6" s="38" t="s">
        <v>247</v>
      </c>
      <c r="K6" s="38" t="s">
        <v>247</v>
      </c>
      <c r="L6" s="38" t="s">
        <v>247</v>
      </c>
      <c r="M6" s="38" t="s">
        <v>247</v>
      </c>
      <c r="N6" s="38" t="s">
        <v>247</v>
      </c>
      <c r="O6" s="5" t="s">
        <v>247</v>
      </c>
      <c r="Q6">
        <v>122.10299999999999</v>
      </c>
      <c r="R6" t="s">
        <v>76</v>
      </c>
    </row>
    <row r="7" spans="1:18" x14ac:dyDescent="0.4">
      <c r="A7" s="39">
        <v>123.102</v>
      </c>
      <c r="B7" s="38" t="str">
        <f t="array" ref="B7">VLOOKUP(A7,$Q$2:$R$187,{2},0)</f>
        <v>장갑차부대정비</v>
      </c>
      <c r="C7" s="56" t="s">
        <v>247</v>
      </c>
      <c r="D7" s="38" t="s">
        <v>247</v>
      </c>
      <c r="E7" s="38">
        <v>50</v>
      </c>
      <c r="F7" s="38">
        <v>63</v>
      </c>
      <c r="G7" s="38">
        <v>55</v>
      </c>
      <c r="H7" s="38">
        <v>59</v>
      </c>
      <c r="I7" s="38" t="s">
        <v>247</v>
      </c>
      <c r="J7" s="38" t="s">
        <v>247</v>
      </c>
      <c r="K7" s="38" t="s">
        <v>247</v>
      </c>
      <c r="L7" s="38">
        <v>47</v>
      </c>
      <c r="M7" s="38">
        <v>53</v>
      </c>
      <c r="N7" s="38">
        <v>62</v>
      </c>
      <c r="O7" s="5" t="s">
        <v>247</v>
      </c>
      <c r="Q7">
        <v>122.104</v>
      </c>
      <c r="R7" t="s">
        <v>77</v>
      </c>
    </row>
    <row r="8" spans="1:18" x14ac:dyDescent="0.4">
      <c r="A8" s="39">
        <v>123.10299999999999</v>
      </c>
      <c r="B8" s="38" t="str">
        <f t="array" ref="B8">VLOOKUP(A8,$Q$2:$R$187,{2},0)</f>
        <v>K-21보병전투차량승무</v>
      </c>
      <c r="C8" s="58">
        <v>46</v>
      </c>
      <c r="D8" s="58" t="s">
        <v>247</v>
      </c>
      <c r="E8" s="58">
        <v>43</v>
      </c>
      <c r="F8" s="58">
        <v>49</v>
      </c>
      <c r="G8" s="58">
        <v>47</v>
      </c>
      <c r="H8" s="58">
        <v>49</v>
      </c>
      <c r="I8" s="58">
        <v>48</v>
      </c>
      <c r="J8" s="58">
        <v>44</v>
      </c>
      <c r="K8" s="58">
        <v>43</v>
      </c>
      <c r="L8" s="58">
        <v>40</v>
      </c>
      <c r="M8" s="58">
        <v>41</v>
      </c>
      <c r="N8" s="58">
        <v>40</v>
      </c>
      <c r="O8" s="59">
        <v>40</v>
      </c>
      <c r="Q8">
        <v>122.105</v>
      </c>
      <c r="R8" t="s">
        <v>78</v>
      </c>
    </row>
    <row r="9" spans="1:18" x14ac:dyDescent="0.4">
      <c r="A9" s="39">
        <v>123.104</v>
      </c>
      <c r="B9" s="38" t="str">
        <f t="array" ref="B9">VLOOKUP(A9,$Q$2:$R$187,{2},0)</f>
        <v>K-21보병전투차량부대정비</v>
      </c>
      <c r="C9" s="56" t="s">
        <v>247</v>
      </c>
      <c r="D9" s="58" t="s">
        <v>247</v>
      </c>
      <c r="E9" s="58" t="s">
        <v>247</v>
      </c>
      <c r="F9" s="58" t="s">
        <v>247</v>
      </c>
      <c r="G9" s="58">
        <v>57</v>
      </c>
      <c r="H9" s="58" t="s">
        <v>247</v>
      </c>
      <c r="I9" s="58" t="s">
        <v>247</v>
      </c>
      <c r="J9" s="58" t="s">
        <v>247</v>
      </c>
      <c r="K9" s="58">
        <v>55</v>
      </c>
      <c r="L9" s="58" t="s">
        <v>247</v>
      </c>
      <c r="M9" s="58" t="s">
        <v>247</v>
      </c>
      <c r="N9" s="58" t="s">
        <v>247</v>
      </c>
      <c r="O9" s="59" t="s">
        <v>247</v>
      </c>
      <c r="Q9">
        <v>123.101</v>
      </c>
      <c r="R9" t="s">
        <v>79</v>
      </c>
    </row>
    <row r="10" spans="1:18" x14ac:dyDescent="0.4">
      <c r="A10" s="39">
        <v>131.101</v>
      </c>
      <c r="B10" s="38" t="str">
        <f t="array" ref="B10">VLOOKUP(A10,$Q$2:$R$187,{2},0)</f>
        <v>견인포병</v>
      </c>
      <c r="C10" s="38">
        <v>46</v>
      </c>
      <c r="D10" s="38">
        <v>48</v>
      </c>
      <c r="E10" s="38">
        <v>42</v>
      </c>
      <c r="F10" s="38" t="s">
        <v>247</v>
      </c>
      <c r="G10" s="38">
        <v>47</v>
      </c>
      <c r="H10" s="38">
        <v>44</v>
      </c>
      <c r="I10" s="38">
        <v>45</v>
      </c>
      <c r="J10" s="38">
        <v>43</v>
      </c>
      <c r="K10" s="38" t="s">
        <v>247</v>
      </c>
      <c r="L10" s="38">
        <v>41</v>
      </c>
      <c r="M10" s="38">
        <v>40</v>
      </c>
      <c r="N10" s="38">
        <v>40</v>
      </c>
      <c r="O10" s="5" t="s">
        <v>247</v>
      </c>
      <c r="Q10">
        <v>123.102</v>
      </c>
      <c r="R10" t="s">
        <v>80</v>
      </c>
    </row>
    <row r="11" spans="1:18" x14ac:dyDescent="0.4">
      <c r="A11" s="39">
        <v>131.10300000000001</v>
      </c>
      <c r="B11" s="38" t="str">
        <f t="array" ref="B11">VLOOKUP(A11,$Q$2:$R$187,{2},0)</f>
        <v>155mm자주포병</v>
      </c>
      <c r="C11" s="38">
        <v>46</v>
      </c>
      <c r="D11" s="38">
        <v>46</v>
      </c>
      <c r="E11" s="38">
        <v>42</v>
      </c>
      <c r="F11" s="38" t="s">
        <v>247</v>
      </c>
      <c r="G11" s="38">
        <v>47</v>
      </c>
      <c r="H11" s="38">
        <v>44</v>
      </c>
      <c r="I11" s="38" t="s">
        <v>247</v>
      </c>
      <c r="J11" s="38">
        <v>43</v>
      </c>
      <c r="K11" s="38" t="s">
        <v>247</v>
      </c>
      <c r="L11" s="38">
        <v>41</v>
      </c>
      <c r="M11" s="38">
        <v>40</v>
      </c>
      <c r="N11" s="38">
        <v>40</v>
      </c>
      <c r="O11" s="5">
        <v>40</v>
      </c>
      <c r="Q11">
        <v>123.10299999999999</v>
      </c>
      <c r="R11" t="s">
        <v>81</v>
      </c>
    </row>
    <row r="12" spans="1:18" x14ac:dyDescent="0.4">
      <c r="A12" s="39">
        <v>131.107</v>
      </c>
      <c r="B12" s="38" t="str">
        <f t="array" ref="B12">VLOOKUP(A12,$Q$2:$R$187,{2},0)</f>
        <v>K-9자주포조종</v>
      </c>
      <c r="C12" s="56" t="s">
        <v>247</v>
      </c>
      <c r="D12" s="38">
        <v>47</v>
      </c>
      <c r="E12" s="38" t="s">
        <v>247</v>
      </c>
      <c r="F12" s="38" t="s">
        <v>247</v>
      </c>
      <c r="G12" s="38" t="s">
        <v>247</v>
      </c>
      <c r="H12" s="38" t="s">
        <v>247</v>
      </c>
      <c r="I12" s="38" t="s">
        <v>247</v>
      </c>
      <c r="J12" s="38" t="s">
        <v>247</v>
      </c>
      <c r="K12" s="38" t="s">
        <v>247</v>
      </c>
      <c r="L12" s="38" t="s">
        <v>247</v>
      </c>
      <c r="M12" s="38" t="s">
        <v>247</v>
      </c>
      <c r="N12" s="38" t="s">
        <v>247</v>
      </c>
      <c r="O12" s="5" t="s">
        <v>247</v>
      </c>
      <c r="Q12">
        <v>123.104</v>
      </c>
      <c r="R12" t="s">
        <v>82</v>
      </c>
    </row>
    <row r="13" spans="1:18" x14ac:dyDescent="0.4">
      <c r="A13" s="39">
        <v>132.102</v>
      </c>
      <c r="B13" s="38" t="str">
        <f t="array" ref="B13">VLOOKUP(A13,$Q$2:$R$187,{2},0)</f>
        <v>K239포병</v>
      </c>
      <c r="C13" s="38">
        <v>80</v>
      </c>
      <c r="D13" s="38" t="s">
        <v>247</v>
      </c>
      <c r="E13" s="38">
        <v>57</v>
      </c>
      <c r="F13" s="38" t="s">
        <v>247</v>
      </c>
      <c r="G13" s="38">
        <v>50</v>
      </c>
      <c r="H13" s="38" t="s">
        <v>247</v>
      </c>
      <c r="I13" s="38">
        <v>53</v>
      </c>
      <c r="J13" s="38">
        <v>46</v>
      </c>
      <c r="K13" s="38" t="s">
        <v>247</v>
      </c>
      <c r="L13" s="38" t="s">
        <v>247</v>
      </c>
      <c r="M13" s="38">
        <v>46</v>
      </c>
      <c r="N13" s="38" t="s">
        <v>247</v>
      </c>
      <c r="O13" s="5">
        <v>78</v>
      </c>
      <c r="Q13">
        <v>131.101</v>
      </c>
      <c r="R13" t="s">
        <v>83</v>
      </c>
    </row>
    <row r="14" spans="1:18" x14ac:dyDescent="0.4">
      <c r="A14" s="39">
        <v>132.10300000000001</v>
      </c>
      <c r="B14" s="38" t="str">
        <f t="array" ref="B14">VLOOKUP(A14,$Q$2:$R$187,{2},0)</f>
        <v>M/A포병</v>
      </c>
      <c r="C14" s="38">
        <v>56</v>
      </c>
      <c r="D14" s="38" t="s">
        <v>247</v>
      </c>
      <c r="E14" s="38">
        <v>54</v>
      </c>
      <c r="F14" s="38" t="s">
        <v>247</v>
      </c>
      <c r="G14" s="38">
        <v>51</v>
      </c>
      <c r="H14" s="38" t="s">
        <v>247</v>
      </c>
      <c r="I14" s="38" t="s">
        <v>247</v>
      </c>
      <c r="J14" s="38">
        <v>46</v>
      </c>
      <c r="K14" s="38" t="s">
        <v>247</v>
      </c>
      <c r="L14" s="38" t="s">
        <v>247</v>
      </c>
      <c r="M14" s="38" t="s">
        <v>247</v>
      </c>
      <c r="N14" s="38" t="s">
        <v>247</v>
      </c>
      <c r="O14" s="5" t="s">
        <v>247</v>
      </c>
      <c r="Q14">
        <v>131.102</v>
      </c>
      <c r="R14" t="s">
        <v>84</v>
      </c>
    </row>
    <row r="15" spans="1:18" x14ac:dyDescent="0.4">
      <c r="A15" s="39">
        <v>133.10300000000001</v>
      </c>
      <c r="B15" s="38" t="str">
        <f t="array" ref="B15">VLOOKUP(A15,$Q$2:$R$187,{2},0)</f>
        <v>사격지휘</v>
      </c>
      <c r="C15" s="38">
        <v>57</v>
      </c>
      <c r="D15" s="38">
        <v>58</v>
      </c>
      <c r="E15" s="38" t="s">
        <v>247</v>
      </c>
      <c r="F15" s="38" t="s">
        <v>247</v>
      </c>
      <c r="G15" s="38">
        <v>53</v>
      </c>
      <c r="H15" s="38">
        <v>53</v>
      </c>
      <c r="I15" s="38" t="s">
        <v>247</v>
      </c>
      <c r="J15" s="38">
        <v>48</v>
      </c>
      <c r="K15" s="38" t="s">
        <v>247</v>
      </c>
      <c r="L15" s="38">
        <v>47</v>
      </c>
      <c r="M15" s="38" t="s">
        <v>247</v>
      </c>
      <c r="N15" s="38">
        <v>52</v>
      </c>
      <c r="O15" s="5" t="s">
        <v>247</v>
      </c>
      <c r="Q15">
        <v>131.10300000000001</v>
      </c>
      <c r="R15" t="s">
        <v>85</v>
      </c>
    </row>
    <row r="16" spans="1:18" x14ac:dyDescent="0.4">
      <c r="A16" s="39">
        <v>133.10599999999999</v>
      </c>
      <c r="B16" s="38" t="str">
        <f t="array" ref="B16">VLOOKUP(A16,$Q$2:$R$187,{2},0)</f>
        <v>포병레이더</v>
      </c>
      <c r="C16" s="56" t="s">
        <v>247</v>
      </c>
      <c r="D16" s="38" t="s">
        <v>247</v>
      </c>
      <c r="E16" s="38">
        <v>52</v>
      </c>
      <c r="F16" s="38" t="s">
        <v>247</v>
      </c>
      <c r="G16" s="38" t="s">
        <v>247</v>
      </c>
      <c r="H16" s="38">
        <v>76</v>
      </c>
      <c r="I16" s="38" t="s">
        <v>247</v>
      </c>
      <c r="J16" s="38">
        <v>54</v>
      </c>
      <c r="K16" s="38" t="s">
        <v>247</v>
      </c>
      <c r="L16" s="38">
        <v>52</v>
      </c>
      <c r="M16" s="38" t="s">
        <v>247</v>
      </c>
      <c r="N16" s="38">
        <v>43</v>
      </c>
      <c r="O16" s="5" t="s">
        <v>247</v>
      </c>
      <c r="Q16">
        <v>131.10400000000001</v>
      </c>
      <c r="R16" t="s">
        <v>86</v>
      </c>
    </row>
    <row r="17" spans="1:18" x14ac:dyDescent="0.4">
      <c r="A17" s="39">
        <v>133.107</v>
      </c>
      <c r="B17" s="38" t="str">
        <f t="array" ref="B17">VLOOKUP(A17,$Q$2:$R$187,{2},0)</f>
        <v>포병측지</v>
      </c>
      <c r="C17" s="38">
        <v>78</v>
      </c>
      <c r="D17" s="38">
        <v>69</v>
      </c>
      <c r="E17" s="38">
        <v>53</v>
      </c>
      <c r="F17" s="38" t="s">
        <v>247</v>
      </c>
      <c r="G17" s="38" t="s">
        <v>247</v>
      </c>
      <c r="H17" s="38">
        <v>75</v>
      </c>
      <c r="I17" s="38" t="s">
        <v>247</v>
      </c>
      <c r="J17" s="38">
        <v>57</v>
      </c>
      <c r="K17" s="38" t="s">
        <v>247</v>
      </c>
      <c r="L17" s="38">
        <v>57</v>
      </c>
      <c r="M17" s="38" t="s">
        <v>247</v>
      </c>
      <c r="N17" s="38">
        <v>51</v>
      </c>
      <c r="O17" s="5" t="s">
        <v>247</v>
      </c>
      <c r="Q17">
        <v>131.10499999999999</v>
      </c>
      <c r="R17" t="s">
        <v>87</v>
      </c>
    </row>
    <row r="18" spans="1:18" x14ac:dyDescent="0.4">
      <c r="A18" s="39">
        <v>134.101</v>
      </c>
      <c r="B18" s="38" t="str">
        <f t="array" ref="B18">VLOOKUP(A18,$Q$2:$R$187,{2},0)</f>
        <v>현무포병</v>
      </c>
      <c r="C18" s="38">
        <v>57</v>
      </c>
      <c r="D18" s="38">
        <v>56</v>
      </c>
      <c r="E18" s="38">
        <v>53</v>
      </c>
      <c r="F18" s="38" t="s">
        <v>247</v>
      </c>
      <c r="G18" s="38">
        <v>57</v>
      </c>
      <c r="H18" s="38" t="s">
        <v>247</v>
      </c>
      <c r="I18" s="38">
        <v>56</v>
      </c>
      <c r="J18" s="38">
        <v>53</v>
      </c>
      <c r="K18" s="38" t="s">
        <v>247</v>
      </c>
      <c r="L18" s="38">
        <v>41</v>
      </c>
      <c r="M18" s="38" t="s">
        <v>247</v>
      </c>
      <c r="N18" s="38" t="s">
        <v>247</v>
      </c>
      <c r="O18" s="5">
        <v>46</v>
      </c>
      <c r="Q18">
        <v>131.10599999999999</v>
      </c>
      <c r="R18" t="s">
        <v>88</v>
      </c>
    </row>
    <row r="19" spans="1:18" x14ac:dyDescent="0.4">
      <c r="A19" s="39">
        <v>141.101</v>
      </c>
      <c r="B19" s="38" t="str">
        <f t="array" ref="B19">VLOOKUP(A19,$Q$2:$R$187,{2},0)</f>
        <v>발칸운용/정비</v>
      </c>
      <c r="C19" s="56" t="s">
        <v>247</v>
      </c>
      <c r="D19" s="58">
        <v>46</v>
      </c>
      <c r="E19" s="58">
        <v>44</v>
      </c>
      <c r="F19" s="58">
        <v>50</v>
      </c>
      <c r="G19" s="58" t="s">
        <v>247</v>
      </c>
      <c r="H19" s="58">
        <v>46</v>
      </c>
      <c r="I19" s="58">
        <v>50</v>
      </c>
      <c r="J19" s="58">
        <v>45</v>
      </c>
      <c r="K19" s="58">
        <v>44</v>
      </c>
      <c r="L19" s="58">
        <v>42</v>
      </c>
      <c r="M19" s="58" t="s">
        <v>247</v>
      </c>
      <c r="N19" s="58">
        <v>40</v>
      </c>
      <c r="O19" s="59" t="s">
        <v>247</v>
      </c>
      <c r="Q19">
        <v>131.107</v>
      </c>
      <c r="R19" t="s">
        <v>89</v>
      </c>
    </row>
    <row r="20" spans="1:18" x14ac:dyDescent="0.4">
      <c r="A20" s="39">
        <v>141.102</v>
      </c>
      <c r="B20" s="38" t="str">
        <f t="array" ref="B20">VLOOKUP(A20,$Q$2:$R$187,{2},0)</f>
        <v>오리콘운용/정비</v>
      </c>
      <c r="C20" s="56" t="s">
        <v>247</v>
      </c>
      <c r="D20" s="38" t="s">
        <v>247</v>
      </c>
      <c r="E20" s="38" t="s">
        <v>247</v>
      </c>
      <c r="F20" s="38">
        <v>50</v>
      </c>
      <c r="G20" s="38" t="s">
        <v>247</v>
      </c>
      <c r="H20" s="38" t="s">
        <v>247</v>
      </c>
      <c r="I20" s="38">
        <v>52</v>
      </c>
      <c r="J20" s="38">
        <v>50</v>
      </c>
      <c r="K20" s="38" t="s">
        <v>247</v>
      </c>
      <c r="L20" s="38">
        <v>44</v>
      </c>
      <c r="M20" s="38" t="s">
        <v>247</v>
      </c>
      <c r="N20" s="38" t="s">
        <v>247</v>
      </c>
      <c r="O20" s="5" t="s">
        <v>247</v>
      </c>
      <c r="Q20">
        <v>131.108</v>
      </c>
      <c r="R20" t="s">
        <v>90</v>
      </c>
    </row>
    <row r="21" spans="1:18" x14ac:dyDescent="0.4">
      <c r="A21" s="39">
        <v>141.10300000000001</v>
      </c>
      <c r="B21" s="38" t="str">
        <f t="array" ref="B21">VLOOKUP(A21,$Q$2:$R$187,{2},0)</f>
        <v>비호운용/정비</v>
      </c>
      <c r="C21" s="56" t="s">
        <v>247</v>
      </c>
      <c r="D21" s="58">
        <v>50</v>
      </c>
      <c r="E21" s="58">
        <v>43</v>
      </c>
      <c r="F21" s="58">
        <v>49</v>
      </c>
      <c r="G21" s="58" t="s">
        <v>247</v>
      </c>
      <c r="H21" s="58">
        <v>49</v>
      </c>
      <c r="I21" s="58">
        <v>53</v>
      </c>
      <c r="J21" s="58">
        <v>45</v>
      </c>
      <c r="K21" s="58">
        <v>43</v>
      </c>
      <c r="L21" s="58">
        <v>43</v>
      </c>
      <c r="M21" s="58" t="s">
        <v>247</v>
      </c>
      <c r="N21" s="58">
        <v>41</v>
      </c>
      <c r="O21" s="59" t="s">
        <v>247</v>
      </c>
      <c r="Q21">
        <v>132.101</v>
      </c>
      <c r="R21" t="s">
        <v>91</v>
      </c>
    </row>
    <row r="22" spans="1:18" x14ac:dyDescent="0.4">
      <c r="A22" s="39">
        <v>141.10400000000001</v>
      </c>
      <c r="B22" s="38" t="str">
        <f t="array" ref="B22">VLOOKUP(A22,$Q$2:$R$187,{2},0)</f>
        <v>방공작전통제</v>
      </c>
      <c r="C22" s="56" t="s">
        <v>247</v>
      </c>
      <c r="D22" s="58">
        <v>46</v>
      </c>
      <c r="E22" s="58">
        <v>49</v>
      </c>
      <c r="F22" s="58">
        <v>51</v>
      </c>
      <c r="G22" s="58" t="s">
        <v>247</v>
      </c>
      <c r="H22" s="58">
        <v>46</v>
      </c>
      <c r="I22" s="58">
        <v>46</v>
      </c>
      <c r="J22" s="58">
        <v>46</v>
      </c>
      <c r="K22" s="58">
        <v>45</v>
      </c>
      <c r="L22" s="58">
        <v>45</v>
      </c>
      <c r="M22" s="58" t="s">
        <v>247</v>
      </c>
      <c r="N22" s="58">
        <v>44</v>
      </c>
      <c r="O22" s="59" t="s">
        <v>247</v>
      </c>
      <c r="Q22">
        <v>132.102</v>
      </c>
      <c r="R22" t="s">
        <v>92</v>
      </c>
    </row>
    <row r="23" spans="1:18" x14ac:dyDescent="0.4">
      <c r="A23" s="39">
        <v>141.10499999999999</v>
      </c>
      <c r="B23" s="38" t="str">
        <f t="array" ref="B23">VLOOKUP(A23,$Q$2:$R$187,{2},0)</f>
        <v>휴대용유도무기운용/정비</v>
      </c>
      <c r="C23" s="56" t="s">
        <v>247</v>
      </c>
      <c r="D23" s="38">
        <v>52</v>
      </c>
      <c r="E23" s="38">
        <v>49</v>
      </c>
      <c r="F23" s="38">
        <v>50</v>
      </c>
      <c r="G23" s="38" t="s">
        <v>247</v>
      </c>
      <c r="H23" s="38">
        <v>46</v>
      </c>
      <c r="I23" s="38" t="s">
        <v>247</v>
      </c>
      <c r="J23" s="38">
        <v>46</v>
      </c>
      <c r="K23" s="38" t="s">
        <v>247</v>
      </c>
      <c r="L23" s="38">
        <v>44</v>
      </c>
      <c r="M23" s="38" t="s">
        <v>247</v>
      </c>
      <c r="N23" s="38" t="s">
        <v>247</v>
      </c>
      <c r="O23" s="5" t="s">
        <v>247</v>
      </c>
      <c r="Q23">
        <v>132.10300000000001</v>
      </c>
      <c r="R23" t="s">
        <v>93</v>
      </c>
    </row>
    <row r="24" spans="1:18" x14ac:dyDescent="0.4">
      <c r="A24" s="39">
        <v>141.10599999999999</v>
      </c>
      <c r="B24" s="38" t="str">
        <f t="array" ref="B24">VLOOKUP(A24,$Q$2:$R$187,{2},0)</f>
        <v>천마운용/정비</v>
      </c>
      <c r="C24" s="56" t="s">
        <v>247</v>
      </c>
      <c r="D24" s="58">
        <v>46</v>
      </c>
      <c r="E24" s="58">
        <v>52</v>
      </c>
      <c r="F24" s="58" t="s">
        <v>247</v>
      </c>
      <c r="G24" s="58" t="s">
        <v>247</v>
      </c>
      <c r="H24" s="58">
        <v>67</v>
      </c>
      <c r="I24" s="58" t="s">
        <v>247</v>
      </c>
      <c r="J24" s="58">
        <v>48</v>
      </c>
      <c r="K24" s="58">
        <v>45</v>
      </c>
      <c r="L24" s="58">
        <v>48</v>
      </c>
      <c r="M24" s="58" t="s">
        <v>247</v>
      </c>
      <c r="N24" s="58" t="s">
        <v>247</v>
      </c>
      <c r="O24" s="59" t="s">
        <v>247</v>
      </c>
      <c r="Q24">
        <v>133.101</v>
      </c>
      <c r="R24" t="s">
        <v>94</v>
      </c>
    </row>
    <row r="25" spans="1:18" x14ac:dyDescent="0.4">
      <c r="A25" s="39">
        <v>141.107</v>
      </c>
      <c r="B25" s="38" t="str">
        <f t="array" ref="B25">VLOOKUP(A25,$Q$2:$R$187,{2},0)</f>
        <v>천호운용/정비</v>
      </c>
      <c r="C25" s="56" t="s">
        <v>247</v>
      </c>
      <c r="D25" s="58" t="s">
        <v>247</v>
      </c>
      <c r="E25" s="58">
        <v>46</v>
      </c>
      <c r="F25" s="58" t="s">
        <v>247</v>
      </c>
      <c r="G25" s="58" t="s">
        <v>247</v>
      </c>
      <c r="H25" s="58">
        <v>50</v>
      </c>
      <c r="I25" s="58" t="s">
        <v>247</v>
      </c>
      <c r="J25" s="58">
        <v>50</v>
      </c>
      <c r="K25" s="58">
        <v>49</v>
      </c>
      <c r="L25" s="58" t="s">
        <v>247</v>
      </c>
      <c r="M25" s="58" t="s">
        <v>247</v>
      </c>
      <c r="N25" s="58" t="s">
        <v>247</v>
      </c>
      <c r="O25" s="59" t="s">
        <v>247</v>
      </c>
      <c r="Q25">
        <v>133.102</v>
      </c>
      <c r="R25" t="s">
        <v>95</v>
      </c>
    </row>
    <row r="26" spans="1:18" x14ac:dyDescent="0.4">
      <c r="A26" s="39">
        <v>143.101</v>
      </c>
      <c r="B26" s="38" t="str">
        <f t="array" ref="B26">VLOOKUP(A26,$Q$2:$R$187,{2},0)</f>
        <v>방공레이더운용/정비</v>
      </c>
      <c r="C26" s="56" t="s">
        <v>247</v>
      </c>
      <c r="D26" s="58">
        <v>46</v>
      </c>
      <c r="E26" s="58">
        <v>50</v>
      </c>
      <c r="F26" s="58" t="s">
        <v>247</v>
      </c>
      <c r="G26" s="58" t="s">
        <v>247</v>
      </c>
      <c r="H26" s="58" t="s">
        <v>247</v>
      </c>
      <c r="I26" s="58">
        <v>59</v>
      </c>
      <c r="J26" s="58" t="s">
        <v>247</v>
      </c>
      <c r="K26" s="58">
        <v>44</v>
      </c>
      <c r="L26" s="58" t="s">
        <v>247</v>
      </c>
      <c r="M26" s="58" t="s">
        <v>247</v>
      </c>
      <c r="N26" s="58">
        <v>44</v>
      </c>
      <c r="O26" s="59" t="s">
        <v>247</v>
      </c>
      <c r="Q26">
        <v>133.10300000000001</v>
      </c>
      <c r="R26" t="s">
        <v>96</v>
      </c>
    </row>
    <row r="27" spans="1:18" x14ac:dyDescent="0.4">
      <c r="A27" s="39">
        <v>151.101</v>
      </c>
      <c r="B27" s="38" t="str">
        <f t="array" ref="B27">VLOOKUP(A27,$Q$2:$R$187,{2},0)</f>
        <v>군사정보</v>
      </c>
      <c r="C27" s="56" t="s">
        <v>247</v>
      </c>
      <c r="D27" s="38" t="s">
        <v>247</v>
      </c>
      <c r="E27" s="38">
        <v>58</v>
      </c>
      <c r="F27" s="38">
        <v>64</v>
      </c>
      <c r="G27" s="38">
        <v>68</v>
      </c>
      <c r="H27" s="38">
        <v>66</v>
      </c>
      <c r="I27" s="38">
        <v>67</v>
      </c>
      <c r="J27" s="38">
        <v>59</v>
      </c>
      <c r="K27" s="38" t="s">
        <v>247</v>
      </c>
      <c r="L27" s="38">
        <v>54</v>
      </c>
      <c r="M27" s="38">
        <v>61</v>
      </c>
      <c r="N27" s="38">
        <v>54</v>
      </c>
      <c r="O27" s="5">
        <v>47</v>
      </c>
      <c r="Q27">
        <v>133.10400000000001</v>
      </c>
      <c r="R27" t="s">
        <v>97</v>
      </c>
    </row>
    <row r="28" spans="1:18" x14ac:dyDescent="0.4">
      <c r="A28" s="39">
        <v>152.101</v>
      </c>
      <c r="B28" s="38" t="str">
        <f t="array" ref="B28">VLOOKUP(A28,$Q$2:$R$187,{2},0)</f>
        <v>신호정보/전자전운용</v>
      </c>
      <c r="C28" s="56" t="s">
        <v>247</v>
      </c>
      <c r="D28" s="58">
        <v>69</v>
      </c>
      <c r="E28" s="58">
        <v>51</v>
      </c>
      <c r="F28" s="58" t="s">
        <v>247</v>
      </c>
      <c r="G28" s="58">
        <v>59</v>
      </c>
      <c r="H28" s="58">
        <v>58</v>
      </c>
      <c r="I28" s="58">
        <v>66</v>
      </c>
      <c r="J28" s="58">
        <v>51</v>
      </c>
      <c r="K28" s="58">
        <v>51</v>
      </c>
      <c r="L28" s="58" t="s">
        <v>247</v>
      </c>
      <c r="M28" s="58">
        <v>51</v>
      </c>
      <c r="N28" s="58">
        <v>47</v>
      </c>
      <c r="O28" s="59">
        <v>47</v>
      </c>
      <c r="Q28">
        <v>133.10499999999999</v>
      </c>
      <c r="R28" t="s">
        <v>98</v>
      </c>
    </row>
    <row r="29" spans="1:18" x14ac:dyDescent="0.4">
      <c r="A29" s="39">
        <v>152.10300000000001</v>
      </c>
      <c r="B29" s="38" t="str">
        <f t="array" ref="B29">VLOOKUP(A29,$Q$2:$R$187,{2},0)</f>
        <v>땅굴탐지</v>
      </c>
      <c r="C29" s="56" t="s">
        <v>247</v>
      </c>
      <c r="D29" s="38" t="s">
        <v>247</v>
      </c>
      <c r="E29" s="38" t="s">
        <v>247</v>
      </c>
      <c r="F29" s="38">
        <v>51</v>
      </c>
      <c r="G29" s="38" t="s">
        <v>247</v>
      </c>
      <c r="H29" s="38" t="s">
        <v>247</v>
      </c>
      <c r="I29" s="38">
        <v>52</v>
      </c>
      <c r="J29" s="38" t="s">
        <v>247</v>
      </c>
      <c r="K29" s="38" t="s">
        <v>247</v>
      </c>
      <c r="L29" s="38">
        <v>50</v>
      </c>
      <c r="M29" s="38" t="s">
        <v>247</v>
      </c>
      <c r="N29" s="38" t="s">
        <v>247</v>
      </c>
      <c r="O29" s="5" t="s">
        <v>247</v>
      </c>
      <c r="Q29">
        <v>133.10599999999999</v>
      </c>
      <c r="R29" t="s">
        <v>99</v>
      </c>
    </row>
    <row r="30" spans="1:18" x14ac:dyDescent="0.4">
      <c r="A30" s="39">
        <v>153.101</v>
      </c>
      <c r="B30" s="38" t="str">
        <f t="array" ref="B30">VLOOKUP(A30,$Q$2:$R$187,{2},0)</f>
        <v>감시장비운용</v>
      </c>
      <c r="C30" s="58">
        <v>52</v>
      </c>
      <c r="D30" s="58">
        <v>59</v>
      </c>
      <c r="E30" s="58">
        <v>50</v>
      </c>
      <c r="F30" s="58">
        <v>59</v>
      </c>
      <c r="G30" s="58">
        <v>55</v>
      </c>
      <c r="H30" s="58">
        <v>56</v>
      </c>
      <c r="I30" s="58">
        <v>56</v>
      </c>
      <c r="J30" s="58">
        <v>52</v>
      </c>
      <c r="K30" s="58">
        <v>41</v>
      </c>
      <c r="L30" s="58">
        <v>46</v>
      </c>
      <c r="M30" s="58">
        <v>46</v>
      </c>
      <c r="N30" s="58">
        <v>43</v>
      </c>
      <c r="O30" s="59">
        <v>40</v>
      </c>
      <c r="Q30">
        <v>133.107</v>
      </c>
      <c r="R30" t="s">
        <v>100</v>
      </c>
    </row>
    <row r="31" spans="1:18" x14ac:dyDescent="0.4">
      <c r="A31" s="39">
        <v>161.101</v>
      </c>
      <c r="B31" s="38" t="str">
        <f t="array" ref="B31">VLOOKUP(A31,$Q$2:$R$187,{2},0)</f>
        <v>야전공병</v>
      </c>
      <c r="C31" s="58">
        <v>46</v>
      </c>
      <c r="D31" s="58">
        <v>48</v>
      </c>
      <c r="E31" s="58">
        <v>42</v>
      </c>
      <c r="F31" s="58" t="s">
        <v>247</v>
      </c>
      <c r="G31" s="58">
        <v>47</v>
      </c>
      <c r="H31" s="58">
        <v>44</v>
      </c>
      <c r="I31" s="58">
        <v>44</v>
      </c>
      <c r="J31" s="58">
        <v>43</v>
      </c>
      <c r="K31" s="58">
        <v>43</v>
      </c>
      <c r="L31" s="58">
        <v>41</v>
      </c>
      <c r="M31" s="58">
        <v>42</v>
      </c>
      <c r="N31" s="58">
        <v>40</v>
      </c>
      <c r="O31" s="59">
        <v>40</v>
      </c>
      <c r="Q31">
        <v>133.108</v>
      </c>
      <c r="R31" t="s">
        <v>101</v>
      </c>
    </row>
    <row r="32" spans="1:18" x14ac:dyDescent="0.4">
      <c r="A32" s="39">
        <v>161.102</v>
      </c>
      <c r="B32" s="38" t="str">
        <f t="array" ref="B32">VLOOKUP(A32,$Q$2:$R$187,{2},0)</f>
        <v>장애물운용(M)</v>
      </c>
      <c r="C32" s="58">
        <v>46</v>
      </c>
      <c r="D32" s="58">
        <v>46</v>
      </c>
      <c r="E32" s="58">
        <v>46</v>
      </c>
      <c r="F32" s="58">
        <v>48</v>
      </c>
      <c r="G32" s="58">
        <v>46</v>
      </c>
      <c r="H32" s="58">
        <v>44</v>
      </c>
      <c r="I32" s="58">
        <v>44</v>
      </c>
      <c r="J32" s="58">
        <v>43</v>
      </c>
      <c r="K32" s="58">
        <v>42</v>
      </c>
      <c r="L32" s="58">
        <v>41</v>
      </c>
      <c r="M32" s="58">
        <v>40</v>
      </c>
      <c r="N32" s="58">
        <v>40</v>
      </c>
      <c r="O32" s="59">
        <v>41</v>
      </c>
      <c r="Q32">
        <v>133.10900000000001</v>
      </c>
      <c r="R32" t="s">
        <v>102</v>
      </c>
    </row>
    <row r="33" spans="1:18" x14ac:dyDescent="0.4">
      <c r="A33" s="39">
        <v>161.10300000000001</v>
      </c>
      <c r="B33" s="38" t="str">
        <f t="array" ref="B33">VLOOKUP(A33,$Q$2:$R$187,{2},0)</f>
        <v>장애물운용(E)</v>
      </c>
      <c r="C33" s="56" t="s">
        <v>247</v>
      </c>
      <c r="D33" s="58" t="s">
        <v>247</v>
      </c>
      <c r="E33" s="58">
        <v>52</v>
      </c>
      <c r="F33" s="58">
        <v>53</v>
      </c>
      <c r="G33" s="58">
        <v>49</v>
      </c>
      <c r="H33" s="58">
        <v>53</v>
      </c>
      <c r="I33" s="58">
        <v>53</v>
      </c>
      <c r="J33" s="58">
        <v>46</v>
      </c>
      <c r="K33" s="58">
        <v>47</v>
      </c>
      <c r="L33" s="58">
        <v>46</v>
      </c>
      <c r="M33" s="58">
        <v>47</v>
      </c>
      <c r="N33" s="58" t="s">
        <v>247</v>
      </c>
      <c r="O33" s="59">
        <v>48</v>
      </c>
      <c r="Q33">
        <v>134.101</v>
      </c>
      <c r="R33" t="s">
        <v>103</v>
      </c>
    </row>
    <row r="34" spans="1:18" x14ac:dyDescent="0.4">
      <c r="A34" s="39">
        <v>161.10400000000001</v>
      </c>
      <c r="B34" s="38" t="str">
        <f t="array" ref="B34">VLOOKUP(A34,$Q$2:$R$187,{2},0)</f>
        <v>야전건설</v>
      </c>
      <c r="C34" s="58">
        <v>56</v>
      </c>
      <c r="D34" s="58" t="s">
        <v>247</v>
      </c>
      <c r="E34" s="58">
        <v>79</v>
      </c>
      <c r="F34" s="58" t="s">
        <v>247</v>
      </c>
      <c r="G34" s="58">
        <v>85</v>
      </c>
      <c r="H34" s="58">
        <v>81</v>
      </c>
      <c r="I34" s="58" t="s">
        <v>247</v>
      </c>
      <c r="J34" s="58">
        <v>81</v>
      </c>
      <c r="K34" s="58">
        <v>80</v>
      </c>
      <c r="L34" s="58" t="s">
        <v>247</v>
      </c>
      <c r="M34" s="58">
        <v>82</v>
      </c>
      <c r="N34" s="58" t="s">
        <v>247</v>
      </c>
      <c r="O34" s="59">
        <v>55</v>
      </c>
      <c r="Q34">
        <v>134.102</v>
      </c>
      <c r="R34" t="s">
        <v>104</v>
      </c>
    </row>
    <row r="35" spans="1:18" x14ac:dyDescent="0.4">
      <c r="A35" s="39">
        <v>162.102</v>
      </c>
      <c r="B35" s="38" t="str">
        <f t="array" ref="B35">VLOOKUP(A35,$Q$2:$R$187,{2},0)</f>
        <v>소방장비</v>
      </c>
      <c r="C35" s="38">
        <v>62</v>
      </c>
      <c r="D35" s="38">
        <v>58</v>
      </c>
      <c r="E35" s="38">
        <v>61</v>
      </c>
      <c r="F35" s="38">
        <v>67</v>
      </c>
      <c r="G35" s="38">
        <v>74</v>
      </c>
      <c r="H35" s="38">
        <v>71</v>
      </c>
      <c r="I35" s="38">
        <v>73</v>
      </c>
      <c r="J35" s="38">
        <v>65</v>
      </c>
      <c r="K35" s="38" t="s">
        <v>247</v>
      </c>
      <c r="L35" s="38">
        <v>57</v>
      </c>
      <c r="M35" s="38" t="s">
        <v>247</v>
      </c>
      <c r="N35" s="38">
        <v>66</v>
      </c>
      <c r="O35" s="5">
        <v>50</v>
      </c>
      <c r="Q35">
        <v>135.101</v>
      </c>
      <c r="R35" t="s">
        <v>105</v>
      </c>
    </row>
    <row r="36" spans="1:18" x14ac:dyDescent="0.4">
      <c r="A36" s="39">
        <v>162.10300000000001</v>
      </c>
      <c r="B36" s="38" t="str">
        <f t="array" ref="B36">VLOOKUP(A36,$Q$2:$R$187,{2},0)</f>
        <v>배관/기계설비</v>
      </c>
      <c r="C36" s="56" t="s">
        <v>247</v>
      </c>
      <c r="D36" s="38">
        <v>60</v>
      </c>
      <c r="E36" s="38" t="s">
        <v>247</v>
      </c>
      <c r="F36" s="38">
        <v>50</v>
      </c>
      <c r="G36" s="38" t="s">
        <v>247</v>
      </c>
      <c r="H36" s="38">
        <v>55</v>
      </c>
      <c r="I36" s="38" t="s">
        <v>247</v>
      </c>
      <c r="J36" s="38">
        <v>63</v>
      </c>
      <c r="K36" s="38" t="s">
        <v>247</v>
      </c>
      <c r="L36" s="38" t="s">
        <v>247</v>
      </c>
      <c r="M36" s="38">
        <v>53</v>
      </c>
      <c r="N36" s="38" t="s">
        <v>247</v>
      </c>
      <c r="O36" s="5">
        <v>52</v>
      </c>
      <c r="Q36">
        <v>141.101</v>
      </c>
      <c r="R36" t="s">
        <v>106</v>
      </c>
    </row>
    <row r="37" spans="1:18" x14ac:dyDescent="0.4">
      <c r="A37" s="39">
        <v>162.10400000000001</v>
      </c>
      <c r="B37" s="38" t="str">
        <f t="array" ref="B37">VLOOKUP(A37,$Q$2:$R$187,{2},0)</f>
        <v>전기설비</v>
      </c>
      <c r="C37" s="58">
        <v>81</v>
      </c>
      <c r="D37" s="58" t="s">
        <v>247</v>
      </c>
      <c r="E37" s="58" t="s">
        <v>247</v>
      </c>
      <c r="F37" s="58" t="s">
        <v>247</v>
      </c>
      <c r="G37" s="58" t="s">
        <v>247</v>
      </c>
      <c r="H37" s="58">
        <v>79</v>
      </c>
      <c r="I37" s="58" t="s">
        <v>247</v>
      </c>
      <c r="J37" s="58">
        <v>80</v>
      </c>
      <c r="K37" s="58">
        <v>79</v>
      </c>
      <c r="L37" s="58" t="s">
        <v>247</v>
      </c>
      <c r="M37" s="58" t="s">
        <v>247</v>
      </c>
      <c r="N37" s="58">
        <v>80</v>
      </c>
      <c r="O37" s="59">
        <v>76</v>
      </c>
      <c r="Q37">
        <v>141.102</v>
      </c>
      <c r="R37" t="s">
        <v>107</v>
      </c>
    </row>
    <row r="38" spans="1:18" x14ac:dyDescent="0.4">
      <c r="A38" s="39">
        <v>163.101</v>
      </c>
      <c r="B38" s="38" t="str">
        <f t="array" ref="B38">VLOOKUP(A38,$Q$2:$R$187,{2},0)</f>
        <v>장갑전투도저운전</v>
      </c>
      <c r="C38" s="56" t="s">
        <v>247</v>
      </c>
      <c r="D38" s="38" t="s">
        <v>247</v>
      </c>
      <c r="E38" s="38">
        <v>61</v>
      </c>
      <c r="F38" s="38" t="s">
        <v>247</v>
      </c>
      <c r="G38" s="38">
        <v>57</v>
      </c>
      <c r="H38" s="38">
        <v>59</v>
      </c>
      <c r="I38" s="38" t="s">
        <v>247</v>
      </c>
      <c r="J38" s="38" t="s">
        <v>247</v>
      </c>
      <c r="K38" s="38" t="s">
        <v>247</v>
      </c>
      <c r="L38" s="38" t="s">
        <v>247</v>
      </c>
      <c r="M38" s="38">
        <v>55</v>
      </c>
      <c r="N38" s="38" t="s">
        <v>247</v>
      </c>
      <c r="O38" s="5" t="s">
        <v>247</v>
      </c>
      <c r="Q38">
        <v>141.10300000000001</v>
      </c>
      <c r="R38" t="s">
        <v>108</v>
      </c>
    </row>
    <row r="39" spans="1:18" x14ac:dyDescent="0.4">
      <c r="A39" s="39">
        <v>163.102</v>
      </c>
      <c r="B39" s="38" t="str">
        <f t="array" ref="B39">VLOOKUP(A39,$Q$2:$R$187,{2},0)</f>
        <v>다목적굴착기운전</v>
      </c>
      <c r="C39" s="38" t="s">
        <v>247</v>
      </c>
      <c r="D39" s="38" t="s">
        <v>247</v>
      </c>
      <c r="E39" s="38">
        <v>62</v>
      </c>
      <c r="F39" s="38" t="s">
        <v>247</v>
      </c>
      <c r="G39" s="38" t="s">
        <v>247</v>
      </c>
      <c r="H39" s="38" t="s">
        <v>247</v>
      </c>
      <c r="I39" s="38" t="s">
        <v>247</v>
      </c>
      <c r="J39" s="38" t="s">
        <v>247</v>
      </c>
      <c r="K39" s="38" t="s">
        <v>247</v>
      </c>
      <c r="L39" s="38" t="s">
        <v>247</v>
      </c>
      <c r="M39" s="38">
        <v>64</v>
      </c>
      <c r="N39" s="38" t="s">
        <v>247</v>
      </c>
      <c r="O39" s="5" t="s">
        <v>247</v>
      </c>
      <c r="Q39">
        <v>141.10400000000001</v>
      </c>
      <c r="R39" t="s">
        <v>109</v>
      </c>
    </row>
    <row r="40" spans="1:18" x14ac:dyDescent="0.4">
      <c r="A40" s="39">
        <v>163.10300000000001</v>
      </c>
      <c r="B40" s="38" t="str">
        <f t="array" ref="B40">VLOOKUP(A40,$Q$2:$R$187,{2},0)</f>
        <v>교량전차조종</v>
      </c>
      <c r="C40" s="38" t="s">
        <v>247</v>
      </c>
      <c r="D40" s="38" t="s">
        <v>247</v>
      </c>
      <c r="E40" s="38">
        <v>43</v>
      </c>
      <c r="F40" s="38" t="s">
        <v>247</v>
      </c>
      <c r="G40" s="38" t="s">
        <v>247</v>
      </c>
      <c r="H40" s="38">
        <v>43</v>
      </c>
      <c r="I40" s="38" t="s">
        <v>247</v>
      </c>
      <c r="J40" s="38" t="s">
        <v>247</v>
      </c>
      <c r="K40" s="38" t="s">
        <v>247</v>
      </c>
      <c r="L40" s="38" t="s">
        <v>247</v>
      </c>
      <c r="M40" s="38">
        <v>40</v>
      </c>
      <c r="N40" s="38" t="s">
        <v>247</v>
      </c>
      <c r="O40" s="5" t="s">
        <v>247</v>
      </c>
      <c r="Q40">
        <v>141.10499999999999</v>
      </c>
      <c r="R40" t="s">
        <v>110</v>
      </c>
    </row>
    <row r="41" spans="1:18" x14ac:dyDescent="0.4">
      <c r="A41" s="39">
        <v>163.10400000000001</v>
      </c>
      <c r="B41" s="38" t="str">
        <f t="array" ref="B41">VLOOKUP(A41,$Q$2:$R$187,{2},0)</f>
        <v>도하장비조종</v>
      </c>
      <c r="C41" s="38" t="s">
        <v>247</v>
      </c>
      <c r="D41" s="38" t="s">
        <v>247</v>
      </c>
      <c r="E41" s="38" t="s">
        <v>247</v>
      </c>
      <c r="F41" s="38" t="s">
        <v>247</v>
      </c>
      <c r="G41" s="38">
        <v>55</v>
      </c>
      <c r="H41" s="38" t="s">
        <v>247</v>
      </c>
      <c r="I41" s="38">
        <v>57</v>
      </c>
      <c r="J41" s="38" t="s">
        <v>247</v>
      </c>
      <c r="K41" s="38" t="s">
        <v>247</v>
      </c>
      <c r="L41" s="38" t="s">
        <v>247</v>
      </c>
      <c r="M41" s="38">
        <v>48</v>
      </c>
      <c r="N41" s="38" t="s">
        <v>247</v>
      </c>
      <c r="O41" s="5" t="s">
        <v>247</v>
      </c>
      <c r="Q41">
        <v>141.10599999999999</v>
      </c>
      <c r="R41" t="s">
        <v>111</v>
      </c>
    </row>
    <row r="42" spans="1:18" x14ac:dyDescent="0.4">
      <c r="A42" s="39">
        <v>163.10499999999999</v>
      </c>
      <c r="B42" s="38" t="str">
        <f t="array" ref="B42">VLOOKUP(A42,$Q$2:$R$187,{2},0)</f>
        <v>정수장비운용</v>
      </c>
      <c r="C42" s="38" t="s">
        <v>247</v>
      </c>
      <c r="D42" s="38" t="s">
        <v>247</v>
      </c>
      <c r="E42" s="38">
        <v>55</v>
      </c>
      <c r="F42" s="38" t="s">
        <v>247</v>
      </c>
      <c r="G42" s="38">
        <v>57</v>
      </c>
      <c r="H42" s="38">
        <v>57</v>
      </c>
      <c r="I42" s="38">
        <v>64</v>
      </c>
      <c r="J42" s="38" t="s">
        <v>247</v>
      </c>
      <c r="K42" s="38" t="s">
        <v>247</v>
      </c>
      <c r="L42" s="38">
        <v>54</v>
      </c>
      <c r="M42" s="38" t="s">
        <v>247</v>
      </c>
      <c r="N42" s="38">
        <v>49</v>
      </c>
      <c r="O42" s="5" t="s">
        <v>247</v>
      </c>
      <c r="Q42">
        <v>141.107</v>
      </c>
      <c r="R42" t="s">
        <v>112</v>
      </c>
    </row>
    <row r="43" spans="1:18" x14ac:dyDescent="0.4">
      <c r="A43" s="39">
        <v>163.107</v>
      </c>
      <c r="B43" s="38" t="str">
        <f t="array" ref="B43">VLOOKUP(A43,$Q$2:$R$187,{2},0)</f>
        <v>공기압축기운용</v>
      </c>
      <c r="C43" s="38" t="s">
        <v>247</v>
      </c>
      <c r="D43" s="38">
        <v>64</v>
      </c>
      <c r="E43" s="38" t="s">
        <v>247</v>
      </c>
      <c r="F43" s="38" t="s">
        <v>247</v>
      </c>
      <c r="G43" s="38" t="s">
        <v>247</v>
      </c>
      <c r="H43" s="38" t="s">
        <v>247</v>
      </c>
      <c r="I43" s="38" t="s">
        <v>247</v>
      </c>
      <c r="J43" s="38" t="s">
        <v>247</v>
      </c>
      <c r="K43" s="38" t="s">
        <v>247</v>
      </c>
      <c r="L43" s="38">
        <v>79</v>
      </c>
      <c r="M43" s="38" t="s">
        <v>247</v>
      </c>
      <c r="N43" s="38" t="s">
        <v>247</v>
      </c>
      <c r="O43" s="5" t="s">
        <v>247</v>
      </c>
      <c r="Q43">
        <v>142.101</v>
      </c>
      <c r="R43" t="s">
        <v>113</v>
      </c>
    </row>
    <row r="44" spans="1:18" x14ac:dyDescent="0.4">
      <c r="A44" s="39">
        <v>163.108</v>
      </c>
      <c r="B44" s="38" t="str">
        <f t="array" ref="B44">VLOOKUP(A44,$Q$2:$R$187,{2},0)</f>
        <v>크레인운용</v>
      </c>
      <c r="C44" s="38">
        <v>67</v>
      </c>
      <c r="D44" s="38">
        <v>66</v>
      </c>
      <c r="E44" s="38">
        <v>61</v>
      </c>
      <c r="F44" s="38" t="s">
        <v>247</v>
      </c>
      <c r="G44" s="38">
        <v>64</v>
      </c>
      <c r="H44" s="38" t="s">
        <v>247</v>
      </c>
      <c r="I44" s="38">
        <v>61</v>
      </c>
      <c r="J44" s="38">
        <v>57</v>
      </c>
      <c r="K44" s="38" t="s">
        <v>247</v>
      </c>
      <c r="L44" s="38" t="s">
        <v>247</v>
      </c>
      <c r="M44" s="38">
        <v>57</v>
      </c>
      <c r="N44" s="38" t="s">
        <v>247</v>
      </c>
      <c r="O44" s="5" t="s">
        <v>247</v>
      </c>
      <c r="Q44">
        <v>142.102</v>
      </c>
      <c r="R44" t="s">
        <v>114</v>
      </c>
    </row>
    <row r="45" spans="1:18" x14ac:dyDescent="0.4">
      <c r="A45" s="39">
        <v>163.10900000000001</v>
      </c>
      <c r="B45" s="38" t="str">
        <f t="array" ref="B45">VLOOKUP(A45,$Q$2:$R$187,{2},0)</f>
        <v>도저운용</v>
      </c>
      <c r="C45" s="56" t="s">
        <v>247</v>
      </c>
      <c r="D45" s="58" t="s">
        <v>247</v>
      </c>
      <c r="E45" s="58">
        <v>68</v>
      </c>
      <c r="F45" s="58" t="s">
        <v>247</v>
      </c>
      <c r="G45" s="58">
        <v>53</v>
      </c>
      <c r="H45" s="58" t="s">
        <v>247</v>
      </c>
      <c r="I45" s="58" t="s">
        <v>247</v>
      </c>
      <c r="J45" s="58" t="s">
        <v>247</v>
      </c>
      <c r="K45" s="58">
        <v>61</v>
      </c>
      <c r="L45" s="58" t="s">
        <v>247</v>
      </c>
      <c r="M45" s="58" t="s">
        <v>247</v>
      </c>
      <c r="N45" s="58" t="s">
        <v>247</v>
      </c>
      <c r="O45" s="59" t="s">
        <v>247</v>
      </c>
      <c r="Q45">
        <v>142.10300000000001</v>
      </c>
      <c r="R45" t="s">
        <v>115</v>
      </c>
    </row>
    <row r="46" spans="1:18" x14ac:dyDescent="0.4">
      <c r="A46" s="39">
        <v>163.11000000000001</v>
      </c>
      <c r="B46" s="38" t="str">
        <f t="array" ref="B46">VLOOKUP(A46,$Q$2:$R$187,{2},0)</f>
        <v>그레이더운용</v>
      </c>
      <c r="C46" s="38" t="s">
        <v>247</v>
      </c>
      <c r="D46" s="38" t="s">
        <v>247</v>
      </c>
      <c r="E46" s="38">
        <v>61</v>
      </c>
      <c r="F46" s="38" t="s">
        <v>247</v>
      </c>
      <c r="G46" s="38">
        <v>60</v>
      </c>
      <c r="H46" s="38" t="s">
        <v>247</v>
      </c>
      <c r="I46" s="38" t="s">
        <v>247</v>
      </c>
      <c r="J46" s="38" t="s">
        <v>247</v>
      </c>
      <c r="K46" s="38" t="s">
        <v>247</v>
      </c>
      <c r="L46" s="38" t="s">
        <v>247</v>
      </c>
      <c r="M46" s="38" t="s">
        <v>247</v>
      </c>
      <c r="N46" s="38" t="s">
        <v>247</v>
      </c>
      <c r="O46" s="5" t="s">
        <v>247</v>
      </c>
      <c r="Q46">
        <v>142.10400000000001</v>
      </c>
      <c r="R46" t="s">
        <v>116</v>
      </c>
    </row>
    <row r="47" spans="1:18" x14ac:dyDescent="0.4">
      <c r="A47" s="39">
        <v>163.11199999999999</v>
      </c>
      <c r="B47" s="38" t="str">
        <f t="array" ref="B47">VLOOKUP(A47,$Q$2:$R$187,{2},0)</f>
        <v>로더운전</v>
      </c>
      <c r="C47" s="58" t="s">
        <v>247</v>
      </c>
      <c r="D47" s="58" t="s">
        <v>247</v>
      </c>
      <c r="E47" s="58">
        <v>61</v>
      </c>
      <c r="F47" s="58" t="s">
        <v>247</v>
      </c>
      <c r="G47" s="58">
        <v>62</v>
      </c>
      <c r="H47" s="58">
        <v>60</v>
      </c>
      <c r="I47" s="58" t="s">
        <v>247</v>
      </c>
      <c r="J47" s="58" t="s">
        <v>247</v>
      </c>
      <c r="K47" s="58">
        <v>56</v>
      </c>
      <c r="L47" s="58" t="s">
        <v>247</v>
      </c>
      <c r="M47" s="58">
        <v>55</v>
      </c>
      <c r="N47" s="58" t="s">
        <v>247</v>
      </c>
      <c r="O47" s="59">
        <v>76</v>
      </c>
      <c r="Q47">
        <v>143.101</v>
      </c>
      <c r="R47" t="s">
        <v>59</v>
      </c>
    </row>
    <row r="48" spans="1:18" x14ac:dyDescent="0.4">
      <c r="A48" s="39">
        <v>163.113</v>
      </c>
      <c r="B48" s="38" t="str">
        <f t="array" ref="B48">VLOOKUP(A48,$Q$2:$R$187,{2},0)</f>
        <v>굴착기운용</v>
      </c>
      <c r="C48" s="38">
        <v>71</v>
      </c>
      <c r="D48" s="38" t="s">
        <v>247</v>
      </c>
      <c r="E48" s="38">
        <v>67</v>
      </c>
      <c r="F48" s="38" t="s">
        <v>247</v>
      </c>
      <c r="G48" s="38">
        <v>69</v>
      </c>
      <c r="H48" s="38" t="s">
        <v>247</v>
      </c>
      <c r="I48" s="38">
        <v>65</v>
      </c>
      <c r="J48" s="38">
        <v>65</v>
      </c>
      <c r="K48" s="38" t="s">
        <v>247</v>
      </c>
      <c r="L48" s="38">
        <v>64</v>
      </c>
      <c r="M48" s="38" t="s">
        <v>247</v>
      </c>
      <c r="N48" s="38">
        <v>64</v>
      </c>
      <c r="O48" s="5">
        <v>61</v>
      </c>
      <c r="Q48">
        <v>151.101</v>
      </c>
      <c r="R48" t="s">
        <v>117</v>
      </c>
    </row>
    <row r="49" spans="1:18" x14ac:dyDescent="0.4">
      <c r="A49" s="39">
        <v>163.114</v>
      </c>
      <c r="B49" s="38" t="str">
        <f t="array" ref="B49">VLOOKUP(A49,$Q$2:$R$187,{2},0)</f>
        <v>발전기운용/정비</v>
      </c>
      <c r="C49" s="56" t="s">
        <v>247</v>
      </c>
      <c r="D49" s="38" t="s">
        <v>247</v>
      </c>
      <c r="E49" s="38">
        <v>65</v>
      </c>
      <c r="F49" s="38">
        <v>83</v>
      </c>
      <c r="G49" s="38" t="s">
        <v>247</v>
      </c>
      <c r="H49" s="38">
        <v>77</v>
      </c>
      <c r="I49" s="38">
        <v>78</v>
      </c>
      <c r="J49" s="38">
        <v>75</v>
      </c>
      <c r="K49" s="38" t="s">
        <v>247</v>
      </c>
      <c r="L49" s="38">
        <v>77</v>
      </c>
      <c r="M49" s="38">
        <v>77</v>
      </c>
      <c r="N49" s="38">
        <v>48</v>
      </c>
      <c r="O49" s="5" t="s">
        <v>247</v>
      </c>
      <c r="Q49">
        <v>151.102</v>
      </c>
      <c r="R49" t="s">
        <v>118</v>
      </c>
    </row>
    <row r="50" spans="1:18" x14ac:dyDescent="0.4">
      <c r="A50" s="39">
        <v>171.101</v>
      </c>
      <c r="B50" s="38" t="str">
        <f t="array" ref="B50">VLOOKUP(A50,$Q$2:$R$187,{2},0)</f>
        <v>전술통신장비운용/정비</v>
      </c>
      <c r="C50" s="58">
        <v>46</v>
      </c>
      <c r="D50" s="58">
        <v>46</v>
      </c>
      <c r="E50" s="58">
        <v>46</v>
      </c>
      <c r="F50" s="58">
        <v>53</v>
      </c>
      <c r="G50" s="58">
        <v>59</v>
      </c>
      <c r="H50" s="58">
        <v>54</v>
      </c>
      <c r="I50" s="58">
        <v>55</v>
      </c>
      <c r="J50" s="58">
        <v>49</v>
      </c>
      <c r="K50" s="58">
        <v>44</v>
      </c>
      <c r="L50" s="58">
        <v>44</v>
      </c>
      <c r="M50" s="58">
        <v>44</v>
      </c>
      <c r="N50" s="58">
        <v>40</v>
      </c>
      <c r="O50" s="59">
        <v>40</v>
      </c>
      <c r="Q50">
        <v>151.10300000000001</v>
      </c>
      <c r="R50" t="s">
        <v>119</v>
      </c>
    </row>
    <row r="51" spans="1:18" x14ac:dyDescent="0.4">
      <c r="A51" s="39">
        <v>171.102</v>
      </c>
      <c r="B51" s="38" t="str">
        <f t="array" ref="B51">VLOOKUP(A51,$Q$2:$R$187,{2},0)</f>
        <v>무선전송장비운용/정비</v>
      </c>
      <c r="C51" s="58">
        <v>56</v>
      </c>
      <c r="D51" s="58">
        <v>60</v>
      </c>
      <c r="E51" s="58">
        <v>53</v>
      </c>
      <c r="F51" s="58">
        <v>62</v>
      </c>
      <c r="G51" s="58">
        <v>67</v>
      </c>
      <c r="H51" s="58">
        <v>67</v>
      </c>
      <c r="I51" s="58">
        <v>71</v>
      </c>
      <c r="J51" s="58">
        <v>66</v>
      </c>
      <c r="K51" s="58">
        <v>52</v>
      </c>
      <c r="L51" s="58">
        <v>53</v>
      </c>
      <c r="M51" s="58">
        <v>51</v>
      </c>
      <c r="N51" s="58">
        <v>47</v>
      </c>
      <c r="O51" s="59" t="s">
        <v>247</v>
      </c>
      <c r="Q51">
        <v>152.101</v>
      </c>
      <c r="R51" t="s">
        <v>60</v>
      </c>
    </row>
    <row r="52" spans="1:18" x14ac:dyDescent="0.4">
      <c r="A52" s="39">
        <v>171.10400000000001</v>
      </c>
      <c r="B52" s="38" t="str">
        <f t="array" ref="B52">VLOOKUP(A52,$Q$2:$R$187,{2},0)</f>
        <v>이동통신장비운용/정비</v>
      </c>
      <c r="C52" s="58">
        <v>46</v>
      </c>
      <c r="D52" s="58">
        <v>48</v>
      </c>
      <c r="E52" s="58">
        <v>50</v>
      </c>
      <c r="F52" s="58">
        <v>56</v>
      </c>
      <c r="G52" s="58">
        <v>62</v>
      </c>
      <c r="H52" s="58">
        <v>62</v>
      </c>
      <c r="I52" s="58">
        <v>72</v>
      </c>
      <c r="J52" s="58">
        <v>53</v>
      </c>
      <c r="K52" s="58">
        <v>46</v>
      </c>
      <c r="L52" s="58">
        <v>51</v>
      </c>
      <c r="M52" s="58">
        <v>47</v>
      </c>
      <c r="N52" s="58">
        <v>41</v>
      </c>
      <c r="O52" s="59">
        <v>41</v>
      </c>
      <c r="Q52">
        <v>152.102</v>
      </c>
      <c r="R52" t="s">
        <v>120</v>
      </c>
    </row>
    <row r="53" spans="1:18" x14ac:dyDescent="0.4">
      <c r="A53" s="39">
        <v>171.10499999999999</v>
      </c>
      <c r="B53" s="38" t="str">
        <f t="array" ref="B53">VLOOKUP(A53,$Q$2:$R$187,{2},0)</f>
        <v>정보통신망관리장비운용/정비</v>
      </c>
      <c r="C53" s="58">
        <v>71</v>
      </c>
      <c r="D53" s="58">
        <v>64</v>
      </c>
      <c r="E53" s="58" t="s">
        <v>247</v>
      </c>
      <c r="F53" s="58" t="s">
        <v>247</v>
      </c>
      <c r="G53" s="58">
        <v>64</v>
      </c>
      <c r="H53" s="58">
        <v>74</v>
      </c>
      <c r="I53" s="58">
        <v>77</v>
      </c>
      <c r="J53" s="58">
        <v>75</v>
      </c>
      <c r="K53" s="58">
        <v>68</v>
      </c>
      <c r="L53" s="58">
        <v>54</v>
      </c>
      <c r="M53" s="58">
        <v>56</v>
      </c>
      <c r="N53" s="58">
        <v>46</v>
      </c>
      <c r="O53" s="59" t="s">
        <v>247</v>
      </c>
      <c r="Q53">
        <v>152.10300000000001</v>
      </c>
      <c r="R53" t="s">
        <v>121</v>
      </c>
    </row>
    <row r="54" spans="1:18" x14ac:dyDescent="0.4">
      <c r="A54" s="39">
        <v>171.107</v>
      </c>
      <c r="B54" s="38" t="str">
        <f t="array" ref="B54">VLOOKUP(A54,$Q$2:$R$187,{2},0)</f>
        <v>교환시설운용/정비</v>
      </c>
      <c r="C54" s="56" t="s">
        <v>247</v>
      </c>
      <c r="D54" s="38">
        <v>54</v>
      </c>
      <c r="E54" s="38">
        <v>51</v>
      </c>
      <c r="F54" s="38" t="s">
        <v>247</v>
      </c>
      <c r="G54" s="38">
        <v>59</v>
      </c>
      <c r="H54" s="38" t="s">
        <v>247</v>
      </c>
      <c r="I54" s="38">
        <v>60</v>
      </c>
      <c r="J54" s="38">
        <v>65</v>
      </c>
      <c r="K54" s="38" t="s">
        <v>247</v>
      </c>
      <c r="L54" s="38" t="s">
        <v>247</v>
      </c>
      <c r="M54" s="38">
        <v>51</v>
      </c>
      <c r="N54" s="38" t="s">
        <v>247</v>
      </c>
      <c r="O54" s="5" t="s">
        <v>247</v>
      </c>
      <c r="Q54">
        <v>153.101</v>
      </c>
      <c r="R54" t="s">
        <v>61</v>
      </c>
    </row>
    <row r="55" spans="1:18" x14ac:dyDescent="0.4">
      <c r="A55" s="39">
        <v>172.101</v>
      </c>
      <c r="B55" s="38" t="str">
        <f t="array" ref="B55">VLOOKUP(A55,$Q$2:$R$187,{2},0)</f>
        <v>MW운용/정비</v>
      </c>
      <c r="C55" s="58">
        <v>90</v>
      </c>
      <c r="D55" s="58">
        <v>62</v>
      </c>
      <c r="E55" s="58">
        <v>79</v>
      </c>
      <c r="F55" s="58" t="s">
        <v>247</v>
      </c>
      <c r="G55" s="58">
        <v>87</v>
      </c>
      <c r="H55" s="58">
        <v>79</v>
      </c>
      <c r="I55" s="58">
        <v>81</v>
      </c>
      <c r="J55" s="58">
        <v>77</v>
      </c>
      <c r="K55" s="58">
        <v>79</v>
      </c>
      <c r="L55" s="58">
        <v>75</v>
      </c>
      <c r="M55" s="58">
        <v>57</v>
      </c>
      <c r="N55" s="58">
        <v>75</v>
      </c>
      <c r="O55" s="59">
        <v>75</v>
      </c>
      <c r="Q55">
        <v>154.101</v>
      </c>
      <c r="R55" t="s">
        <v>122</v>
      </c>
    </row>
    <row r="56" spans="1:18" x14ac:dyDescent="0.4">
      <c r="A56" s="39">
        <v>172.102</v>
      </c>
      <c r="B56" s="38" t="str">
        <f t="array" ref="B56">VLOOKUP(A56,$Q$2:$R$187,{2},0)</f>
        <v>위성운용/정비</v>
      </c>
      <c r="C56" s="58">
        <v>61</v>
      </c>
      <c r="D56" s="58">
        <v>58</v>
      </c>
      <c r="E56" s="58">
        <v>46</v>
      </c>
      <c r="F56" s="58">
        <v>58</v>
      </c>
      <c r="G56" s="58">
        <v>58</v>
      </c>
      <c r="H56" s="58">
        <v>60</v>
      </c>
      <c r="I56" s="58">
        <v>69</v>
      </c>
      <c r="J56" s="58">
        <v>51</v>
      </c>
      <c r="K56" s="58">
        <v>53</v>
      </c>
      <c r="L56" s="58">
        <v>42</v>
      </c>
      <c r="M56" s="58">
        <v>46</v>
      </c>
      <c r="N56" s="58">
        <v>46</v>
      </c>
      <c r="O56" s="59">
        <v>47</v>
      </c>
      <c r="Q56">
        <v>155.101</v>
      </c>
      <c r="R56" t="s">
        <v>123</v>
      </c>
    </row>
    <row r="57" spans="1:18" x14ac:dyDescent="0.4">
      <c r="A57" s="39">
        <v>173.101</v>
      </c>
      <c r="B57" s="38" t="str">
        <f t="array" ref="B57">VLOOKUP(A57,$Q$2:$R$187,{2},0)</f>
        <v>암호운용</v>
      </c>
      <c r="C57" s="56" t="s">
        <v>247</v>
      </c>
      <c r="D57" s="58">
        <v>56</v>
      </c>
      <c r="E57" s="58" t="s">
        <v>247</v>
      </c>
      <c r="F57" s="58">
        <v>64</v>
      </c>
      <c r="G57" s="58">
        <v>62</v>
      </c>
      <c r="H57" s="58">
        <v>67</v>
      </c>
      <c r="I57" s="58" t="s">
        <v>247</v>
      </c>
      <c r="J57" s="58">
        <v>67</v>
      </c>
      <c r="K57" s="58">
        <v>64</v>
      </c>
      <c r="L57" s="58">
        <v>53</v>
      </c>
      <c r="M57" s="58" t="s">
        <v>247</v>
      </c>
      <c r="N57" s="58">
        <v>51</v>
      </c>
      <c r="O57" s="59" t="s">
        <v>247</v>
      </c>
      <c r="Q57">
        <v>161.101</v>
      </c>
      <c r="R57" t="s">
        <v>62</v>
      </c>
    </row>
    <row r="58" spans="1:18" x14ac:dyDescent="0.4">
      <c r="A58" s="39">
        <v>174.101</v>
      </c>
      <c r="B58" s="38" t="str">
        <f t="array" ref="B58">VLOOKUP(A58,$Q$2:$R$187,{2},0)</f>
        <v>레이다운용/정비</v>
      </c>
      <c r="C58" s="58">
        <v>62</v>
      </c>
      <c r="D58" s="58">
        <v>52</v>
      </c>
      <c r="E58" s="58">
        <v>47</v>
      </c>
      <c r="F58" s="58">
        <v>56</v>
      </c>
      <c r="G58" s="58">
        <v>55</v>
      </c>
      <c r="H58" s="58">
        <v>57</v>
      </c>
      <c r="I58" s="58">
        <v>54</v>
      </c>
      <c r="J58" s="58">
        <v>52</v>
      </c>
      <c r="K58" s="58">
        <v>47</v>
      </c>
      <c r="L58" s="58">
        <v>47</v>
      </c>
      <c r="M58" s="58">
        <v>46</v>
      </c>
      <c r="N58" s="58">
        <v>51</v>
      </c>
      <c r="O58" s="59">
        <v>55</v>
      </c>
      <c r="Q58">
        <v>161.102</v>
      </c>
      <c r="R58" t="s">
        <v>63</v>
      </c>
    </row>
    <row r="59" spans="1:18" x14ac:dyDescent="0.4">
      <c r="A59" s="39">
        <v>175.101</v>
      </c>
      <c r="B59" s="38" t="str">
        <f t="array" ref="B59">VLOOKUP(A59,$Q$2:$R$187,{2},0)</f>
        <v>네트워크운용/정비</v>
      </c>
      <c r="C59" s="58">
        <v>56</v>
      </c>
      <c r="D59" s="58">
        <v>55</v>
      </c>
      <c r="E59" s="58">
        <v>54</v>
      </c>
      <c r="F59" s="58">
        <v>61</v>
      </c>
      <c r="G59" s="58">
        <v>58</v>
      </c>
      <c r="H59" s="58">
        <v>61</v>
      </c>
      <c r="I59" s="58">
        <v>62</v>
      </c>
      <c r="J59" s="58">
        <v>52</v>
      </c>
      <c r="K59" s="58">
        <v>53</v>
      </c>
      <c r="L59" s="58">
        <v>51</v>
      </c>
      <c r="M59" s="58">
        <v>46</v>
      </c>
      <c r="N59" s="58">
        <v>46</v>
      </c>
      <c r="O59" s="59">
        <v>53</v>
      </c>
      <c r="Q59">
        <v>161.10300000000001</v>
      </c>
      <c r="R59" t="s">
        <v>124</v>
      </c>
    </row>
    <row r="60" spans="1:18" x14ac:dyDescent="0.4">
      <c r="A60" s="39">
        <v>175.102</v>
      </c>
      <c r="B60" s="38" t="str">
        <f t="array" ref="B60">VLOOKUP(A60,$Q$2:$R$187,{2},0)</f>
        <v>전술C4I운용/정비</v>
      </c>
      <c r="C60" s="58">
        <v>58</v>
      </c>
      <c r="D60" s="58">
        <v>58</v>
      </c>
      <c r="E60" s="58" t="s">
        <v>247</v>
      </c>
      <c r="F60" s="58">
        <v>66</v>
      </c>
      <c r="G60" s="58">
        <v>59</v>
      </c>
      <c r="H60" s="58">
        <v>57</v>
      </c>
      <c r="I60" s="58">
        <v>60</v>
      </c>
      <c r="J60" s="58">
        <v>54</v>
      </c>
      <c r="K60" s="58">
        <v>48</v>
      </c>
      <c r="L60" s="58">
        <v>46</v>
      </c>
      <c r="M60" s="58">
        <v>46</v>
      </c>
      <c r="N60" s="58">
        <v>46</v>
      </c>
      <c r="O60" s="59" t="s">
        <v>247</v>
      </c>
      <c r="Q60">
        <v>161.10400000000001</v>
      </c>
      <c r="R60" t="s">
        <v>125</v>
      </c>
    </row>
    <row r="61" spans="1:18" x14ac:dyDescent="0.4">
      <c r="A61" s="39">
        <v>175.10300000000001</v>
      </c>
      <c r="B61" s="38" t="str">
        <f t="array" ref="B61">VLOOKUP(A61,$Q$2:$R$187,{2},0)</f>
        <v>정보체계운용/정비</v>
      </c>
      <c r="C61" s="58">
        <v>55</v>
      </c>
      <c r="D61" s="58">
        <v>68</v>
      </c>
      <c r="E61" s="58">
        <v>59</v>
      </c>
      <c r="F61" s="58">
        <v>76</v>
      </c>
      <c r="G61" s="58">
        <v>75</v>
      </c>
      <c r="H61" s="58">
        <v>77</v>
      </c>
      <c r="I61" s="58">
        <v>77</v>
      </c>
      <c r="J61" s="58">
        <v>71</v>
      </c>
      <c r="K61" s="58">
        <v>71</v>
      </c>
      <c r="L61" s="58">
        <v>60</v>
      </c>
      <c r="M61" s="58">
        <v>69</v>
      </c>
      <c r="N61" s="58">
        <v>58</v>
      </c>
      <c r="O61" s="59">
        <v>52</v>
      </c>
      <c r="Q61">
        <v>162.101</v>
      </c>
      <c r="R61" t="s">
        <v>126</v>
      </c>
    </row>
    <row r="62" spans="1:18" x14ac:dyDescent="0.4">
      <c r="A62" s="39">
        <v>181.101</v>
      </c>
      <c r="B62" s="38" t="str">
        <f t="array" ref="B62">VLOOKUP(A62,$Q$2:$R$187,{2},0)</f>
        <v>항공운항/관제</v>
      </c>
      <c r="C62" s="56" t="s">
        <v>247</v>
      </c>
      <c r="D62" s="58" t="s">
        <v>247</v>
      </c>
      <c r="E62" s="58">
        <v>62</v>
      </c>
      <c r="F62" s="58" t="s">
        <v>247</v>
      </c>
      <c r="G62" s="58">
        <v>69</v>
      </c>
      <c r="H62" s="58" t="s">
        <v>247</v>
      </c>
      <c r="I62" s="58" t="s">
        <v>247</v>
      </c>
      <c r="J62" s="58" t="s">
        <v>247</v>
      </c>
      <c r="K62" s="58">
        <v>65</v>
      </c>
      <c r="L62" s="58" t="s">
        <v>247</v>
      </c>
      <c r="M62" s="58">
        <v>63</v>
      </c>
      <c r="N62" s="58" t="s">
        <v>247</v>
      </c>
      <c r="O62" s="59" t="s">
        <v>247</v>
      </c>
      <c r="Q62">
        <v>162.102</v>
      </c>
      <c r="R62" t="s">
        <v>64</v>
      </c>
    </row>
    <row r="63" spans="1:18" x14ac:dyDescent="0.4">
      <c r="A63" s="39">
        <v>182.101</v>
      </c>
      <c r="B63" s="38" t="str">
        <f t="array" ref="B63">VLOOKUP(A63,$Q$2:$R$187,{2},0)</f>
        <v>공격헬기정비</v>
      </c>
      <c r="C63" s="58" t="s">
        <v>247</v>
      </c>
      <c r="D63" s="58" t="s">
        <v>247</v>
      </c>
      <c r="E63" s="58" t="s">
        <v>247</v>
      </c>
      <c r="F63" s="58" t="s">
        <v>247</v>
      </c>
      <c r="G63" s="58" t="s">
        <v>247</v>
      </c>
      <c r="H63" s="58" t="s">
        <v>247</v>
      </c>
      <c r="I63" s="58">
        <v>68</v>
      </c>
      <c r="J63" s="58" t="s">
        <v>247</v>
      </c>
      <c r="K63" s="58">
        <v>51</v>
      </c>
      <c r="L63" s="58" t="s">
        <v>247</v>
      </c>
      <c r="M63" s="58" t="s">
        <v>247</v>
      </c>
      <c r="N63" s="58" t="s">
        <v>247</v>
      </c>
      <c r="O63" s="59" t="s">
        <v>247</v>
      </c>
      <c r="Q63">
        <v>162.10300000000001</v>
      </c>
      <c r="R63" t="s">
        <v>65</v>
      </c>
    </row>
    <row r="64" spans="1:18" x14ac:dyDescent="0.4">
      <c r="A64" s="39">
        <v>182.10400000000001</v>
      </c>
      <c r="B64" s="38" t="str">
        <f t="array" ref="B64">VLOOKUP(A64,$Q$2:$R$187,{2},0)</f>
        <v>기동헬기운용</v>
      </c>
      <c r="C64" s="58" t="s">
        <v>247</v>
      </c>
      <c r="D64" s="58" t="s">
        <v>247</v>
      </c>
      <c r="E64" s="58">
        <v>50</v>
      </c>
      <c r="F64" s="58" t="s">
        <v>247</v>
      </c>
      <c r="G64" s="58">
        <v>70</v>
      </c>
      <c r="H64" s="58">
        <v>57</v>
      </c>
      <c r="I64" s="58">
        <v>60</v>
      </c>
      <c r="J64" s="58">
        <v>46</v>
      </c>
      <c r="K64" s="58">
        <v>53</v>
      </c>
      <c r="L64" s="58" t="s">
        <v>247</v>
      </c>
      <c r="M64" s="58">
        <v>46</v>
      </c>
      <c r="N64" s="58">
        <v>48</v>
      </c>
      <c r="O64" s="59" t="s">
        <v>247</v>
      </c>
      <c r="Q64">
        <v>162.10400000000001</v>
      </c>
      <c r="R64" t="s">
        <v>127</v>
      </c>
    </row>
    <row r="65" spans="1:18" x14ac:dyDescent="0.4">
      <c r="A65" s="39">
        <v>211.101</v>
      </c>
      <c r="B65" s="38" t="str">
        <f t="array" ref="B65">VLOOKUP(A65,$Q$2:$R$187,{2},0)</f>
        <v>화생방</v>
      </c>
      <c r="C65" s="58" t="s">
        <v>247</v>
      </c>
      <c r="D65" s="58">
        <v>66</v>
      </c>
      <c r="E65" s="58">
        <v>54</v>
      </c>
      <c r="F65" s="58">
        <v>65</v>
      </c>
      <c r="G65" s="58">
        <v>61</v>
      </c>
      <c r="H65" s="58">
        <v>61</v>
      </c>
      <c r="I65" s="58">
        <v>64</v>
      </c>
      <c r="J65" s="58" t="s">
        <v>247</v>
      </c>
      <c r="K65" s="58">
        <v>54</v>
      </c>
      <c r="L65" s="58" t="s">
        <v>247</v>
      </c>
      <c r="M65" s="58">
        <v>52</v>
      </c>
      <c r="N65" s="58">
        <v>46</v>
      </c>
      <c r="O65" s="59" t="s">
        <v>247</v>
      </c>
      <c r="Q65">
        <v>163.101</v>
      </c>
      <c r="R65" t="s">
        <v>128</v>
      </c>
    </row>
    <row r="66" spans="1:18" x14ac:dyDescent="0.4">
      <c r="A66" s="39">
        <v>211.102</v>
      </c>
      <c r="B66" s="38" t="str">
        <f t="array" ref="B66">VLOOKUP(A66,$Q$2:$R$187,{2},0)</f>
        <v>연막</v>
      </c>
      <c r="C66" s="38" t="s">
        <v>247</v>
      </c>
      <c r="D66" s="38" t="s">
        <v>247</v>
      </c>
      <c r="E66" s="38" t="s">
        <v>247</v>
      </c>
      <c r="F66" s="38" t="s">
        <v>247</v>
      </c>
      <c r="G66" s="38">
        <v>64</v>
      </c>
      <c r="H66" s="38" t="s">
        <v>247</v>
      </c>
      <c r="I66" s="38" t="s">
        <v>247</v>
      </c>
      <c r="J66" s="38" t="s">
        <v>247</v>
      </c>
      <c r="K66" s="38" t="s">
        <v>247</v>
      </c>
      <c r="L66" s="38">
        <v>56</v>
      </c>
      <c r="M66" s="38" t="s">
        <v>247</v>
      </c>
      <c r="N66" s="38" t="s">
        <v>247</v>
      </c>
      <c r="O66" s="5" t="s">
        <v>247</v>
      </c>
      <c r="Q66">
        <v>163.102</v>
      </c>
      <c r="R66" t="s">
        <v>129</v>
      </c>
    </row>
    <row r="67" spans="1:18" x14ac:dyDescent="0.4">
      <c r="A67" s="39">
        <v>211.10300000000001</v>
      </c>
      <c r="B67" s="38" t="str">
        <f t="array" ref="B67">VLOOKUP(A67,$Q$2:$R$187,{2},0)</f>
        <v>화생방제독</v>
      </c>
      <c r="C67" s="38">
        <v>60</v>
      </c>
      <c r="D67" s="38" t="s">
        <v>247</v>
      </c>
      <c r="E67" s="38" t="s">
        <v>247</v>
      </c>
      <c r="F67" s="38" t="s">
        <v>247</v>
      </c>
      <c r="G67" s="38" t="s">
        <v>247</v>
      </c>
      <c r="H67" s="38" t="s">
        <v>247</v>
      </c>
      <c r="I67" s="38" t="s">
        <v>247</v>
      </c>
      <c r="J67" s="38" t="s">
        <v>247</v>
      </c>
      <c r="K67" s="38" t="s">
        <v>247</v>
      </c>
      <c r="L67" s="38" t="s">
        <v>247</v>
      </c>
      <c r="M67" s="38" t="s">
        <v>247</v>
      </c>
      <c r="N67" s="38" t="s">
        <v>247</v>
      </c>
      <c r="O67" s="5" t="s">
        <v>247</v>
      </c>
      <c r="Q67">
        <v>163.10300000000001</v>
      </c>
      <c r="R67" t="s">
        <v>130</v>
      </c>
    </row>
    <row r="68" spans="1:18" x14ac:dyDescent="0.4">
      <c r="A68" s="39">
        <v>211.10400000000001</v>
      </c>
      <c r="B68" s="38" t="str">
        <f t="array" ref="B68">VLOOKUP(A68,$Q$2:$R$187,{2},0)</f>
        <v>화생방정찰</v>
      </c>
      <c r="C68" s="56" t="s">
        <v>247</v>
      </c>
      <c r="D68" s="38">
        <v>59</v>
      </c>
      <c r="E68" s="38">
        <v>54</v>
      </c>
      <c r="F68" s="38" t="s">
        <v>247</v>
      </c>
      <c r="G68" s="38">
        <v>59</v>
      </c>
      <c r="H68" s="38" t="s">
        <v>247</v>
      </c>
      <c r="I68" s="38" t="s">
        <v>247</v>
      </c>
      <c r="J68" s="38">
        <v>58</v>
      </c>
      <c r="K68" s="38" t="s">
        <v>247</v>
      </c>
      <c r="L68" s="38" t="s">
        <v>247</v>
      </c>
      <c r="M68" s="38">
        <v>48</v>
      </c>
      <c r="N68" s="38" t="s">
        <v>247</v>
      </c>
      <c r="O68" s="5" t="s">
        <v>247</v>
      </c>
      <c r="Q68">
        <v>163.10400000000001</v>
      </c>
      <c r="R68" t="s">
        <v>131</v>
      </c>
    </row>
    <row r="69" spans="1:18" x14ac:dyDescent="0.4">
      <c r="A69" s="39">
        <v>221.101</v>
      </c>
      <c r="B69" s="38" t="str">
        <f t="array" ref="B69">VLOOKUP(A69,$Q$2:$R$187,{2},0)</f>
        <v>대공포/유도무기정비</v>
      </c>
      <c r="C69" s="38" t="s">
        <v>247</v>
      </c>
      <c r="D69" s="38" t="s">
        <v>247</v>
      </c>
      <c r="E69" s="38">
        <v>60</v>
      </c>
      <c r="F69" s="38" t="s">
        <v>247</v>
      </c>
      <c r="G69" s="38" t="s">
        <v>247</v>
      </c>
      <c r="H69" s="38" t="s">
        <v>247</v>
      </c>
      <c r="I69" s="38" t="s">
        <v>247</v>
      </c>
      <c r="J69" s="38" t="s">
        <v>247</v>
      </c>
      <c r="K69" s="38" t="s">
        <v>247</v>
      </c>
      <c r="L69" s="38" t="s">
        <v>247</v>
      </c>
      <c r="M69" s="38" t="s">
        <v>247</v>
      </c>
      <c r="N69" s="38" t="s">
        <v>247</v>
      </c>
      <c r="O69" s="5">
        <v>79</v>
      </c>
      <c r="Q69">
        <v>163.10499999999999</v>
      </c>
      <c r="R69" t="s">
        <v>132</v>
      </c>
    </row>
    <row r="70" spans="1:18" x14ac:dyDescent="0.4">
      <c r="A70" s="39">
        <v>221.102</v>
      </c>
      <c r="B70" s="38" t="str">
        <f t="array" ref="B70">VLOOKUP(A70,$Q$2:$R$187,{2},0)</f>
        <v>로켓무기정비</v>
      </c>
      <c r="C70" s="38" t="s">
        <v>247</v>
      </c>
      <c r="D70" s="38">
        <v>62</v>
      </c>
      <c r="E70" s="38">
        <v>51</v>
      </c>
      <c r="F70" s="38" t="s">
        <v>247</v>
      </c>
      <c r="G70" s="38" t="s">
        <v>247</v>
      </c>
      <c r="H70" s="38" t="s">
        <v>247</v>
      </c>
      <c r="I70" s="38" t="s">
        <v>247</v>
      </c>
      <c r="J70" s="38" t="s">
        <v>247</v>
      </c>
      <c r="K70" s="38" t="s">
        <v>247</v>
      </c>
      <c r="L70" s="38" t="s">
        <v>247</v>
      </c>
      <c r="M70" s="38" t="s">
        <v>247</v>
      </c>
      <c r="N70" s="38" t="s">
        <v>247</v>
      </c>
      <c r="O70" s="5" t="s">
        <v>247</v>
      </c>
      <c r="Q70">
        <v>163.10599999999999</v>
      </c>
      <c r="R70" t="s">
        <v>133</v>
      </c>
    </row>
    <row r="71" spans="1:18" x14ac:dyDescent="0.4">
      <c r="A71" s="39">
        <v>222.101</v>
      </c>
      <c r="B71" s="38" t="str">
        <f t="array" ref="B71">VLOOKUP(A71,$Q$2:$R$187,{2},0)</f>
        <v>총기정비</v>
      </c>
      <c r="C71" s="58" t="s">
        <v>247</v>
      </c>
      <c r="D71" s="58">
        <v>57</v>
      </c>
      <c r="E71" s="58">
        <v>52</v>
      </c>
      <c r="F71" s="58" t="s">
        <v>247</v>
      </c>
      <c r="G71" s="58" t="s">
        <v>247</v>
      </c>
      <c r="H71" s="58" t="s">
        <v>247</v>
      </c>
      <c r="I71" s="58" t="s">
        <v>247</v>
      </c>
      <c r="J71" s="58" t="s">
        <v>247</v>
      </c>
      <c r="K71" s="58">
        <v>51</v>
      </c>
      <c r="L71" s="58" t="s">
        <v>247</v>
      </c>
      <c r="M71" s="58" t="s">
        <v>247</v>
      </c>
      <c r="N71" s="58" t="s">
        <v>247</v>
      </c>
      <c r="O71" s="59" t="s">
        <v>247</v>
      </c>
      <c r="Q71">
        <v>163.107</v>
      </c>
      <c r="R71" t="s">
        <v>66</v>
      </c>
    </row>
    <row r="72" spans="1:18" x14ac:dyDescent="0.4">
      <c r="A72" s="39">
        <v>222.102</v>
      </c>
      <c r="B72" s="38" t="str">
        <f t="array" ref="B72">VLOOKUP(A72,$Q$2:$R$187,{2},0)</f>
        <v>화포정비</v>
      </c>
      <c r="C72" s="58" t="s">
        <v>247</v>
      </c>
      <c r="D72" s="58" t="s">
        <v>247</v>
      </c>
      <c r="E72" s="58">
        <v>51</v>
      </c>
      <c r="F72" s="58" t="s">
        <v>247</v>
      </c>
      <c r="G72" s="58" t="s">
        <v>247</v>
      </c>
      <c r="H72" s="58" t="s">
        <v>247</v>
      </c>
      <c r="I72" s="58" t="s">
        <v>247</v>
      </c>
      <c r="J72" s="58" t="s">
        <v>247</v>
      </c>
      <c r="K72" s="58">
        <v>41</v>
      </c>
      <c r="L72" s="58" t="s">
        <v>247</v>
      </c>
      <c r="M72" s="58" t="s">
        <v>247</v>
      </c>
      <c r="N72" s="58" t="s">
        <v>247</v>
      </c>
      <c r="O72" s="59" t="s">
        <v>247</v>
      </c>
      <c r="Q72">
        <v>163.108</v>
      </c>
      <c r="R72" t="s">
        <v>67</v>
      </c>
    </row>
    <row r="73" spans="1:18" x14ac:dyDescent="0.4">
      <c r="A73" s="39">
        <v>222.10300000000001</v>
      </c>
      <c r="B73" s="38" t="str">
        <f t="array" ref="B73">VLOOKUP(A73,$Q$2:$R$187,{2},0)</f>
        <v>광학기재정비</v>
      </c>
      <c r="C73" s="58" t="s">
        <v>247</v>
      </c>
      <c r="D73" s="58">
        <v>58</v>
      </c>
      <c r="E73" s="58">
        <v>51</v>
      </c>
      <c r="F73" s="58" t="s">
        <v>247</v>
      </c>
      <c r="G73" s="58" t="s">
        <v>247</v>
      </c>
      <c r="H73" s="58" t="s">
        <v>247</v>
      </c>
      <c r="I73" s="58" t="s">
        <v>247</v>
      </c>
      <c r="J73" s="58" t="s">
        <v>247</v>
      </c>
      <c r="K73" s="58">
        <v>49</v>
      </c>
      <c r="L73" s="58" t="s">
        <v>247</v>
      </c>
      <c r="M73" s="58" t="s">
        <v>247</v>
      </c>
      <c r="N73" s="58" t="s">
        <v>247</v>
      </c>
      <c r="O73" s="59" t="s">
        <v>247</v>
      </c>
      <c r="Q73">
        <v>163.10900000000001</v>
      </c>
      <c r="R73" t="s">
        <v>134</v>
      </c>
    </row>
    <row r="74" spans="1:18" x14ac:dyDescent="0.4">
      <c r="A74" s="39">
        <v>222.10400000000001</v>
      </c>
      <c r="B74" s="38" t="str">
        <f t="array" ref="B74">VLOOKUP(A74,$Q$2:$R$187,{2},0)</f>
        <v>감시장비정비</v>
      </c>
      <c r="C74" s="38" t="s">
        <v>247</v>
      </c>
      <c r="D74" s="38" t="s">
        <v>247</v>
      </c>
      <c r="E74" s="38">
        <v>50</v>
      </c>
      <c r="F74" s="38" t="s">
        <v>247</v>
      </c>
      <c r="G74" s="38" t="s">
        <v>247</v>
      </c>
      <c r="H74" s="38" t="s">
        <v>247</v>
      </c>
      <c r="I74" s="38" t="s">
        <v>247</v>
      </c>
      <c r="J74" s="38" t="s">
        <v>247</v>
      </c>
      <c r="K74" s="38" t="s">
        <v>247</v>
      </c>
      <c r="L74" s="38" t="s">
        <v>247</v>
      </c>
      <c r="M74" s="38" t="s">
        <v>247</v>
      </c>
      <c r="N74" s="38" t="s">
        <v>247</v>
      </c>
      <c r="O74" s="5" t="s">
        <v>247</v>
      </c>
      <c r="Q74">
        <v>163.11000000000001</v>
      </c>
      <c r="R74" t="s">
        <v>135</v>
      </c>
    </row>
    <row r="75" spans="1:18" x14ac:dyDescent="0.4">
      <c r="A75" s="39">
        <v>222.10499999999999</v>
      </c>
      <c r="B75" s="38" t="str">
        <f t="array" ref="B75">VLOOKUP(A75,$Q$2:$R$187,{2},0)</f>
        <v>전차정비</v>
      </c>
      <c r="C75" s="58">
        <v>61</v>
      </c>
      <c r="D75" s="58">
        <v>89</v>
      </c>
      <c r="E75" s="58">
        <v>52</v>
      </c>
      <c r="F75" s="58" t="s">
        <v>247</v>
      </c>
      <c r="G75" s="58">
        <v>79</v>
      </c>
      <c r="H75" s="58" t="s">
        <v>247</v>
      </c>
      <c r="I75" s="58">
        <v>57</v>
      </c>
      <c r="J75" s="58" t="s">
        <v>247</v>
      </c>
      <c r="K75" s="58">
        <v>43</v>
      </c>
      <c r="L75" s="58" t="s">
        <v>247</v>
      </c>
      <c r="M75" s="58">
        <v>59</v>
      </c>
      <c r="N75" s="58" t="s">
        <v>247</v>
      </c>
      <c r="O75" s="59" t="s">
        <v>247</v>
      </c>
      <c r="Q75">
        <v>163.11099999999999</v>
      </c>
      <c r="R75" t="s">
        <v>136</v>
      </c>
    </row>
    <row r="76" spans="1:18" x14ac:dyDescent="0.4">
      <c r="A76" s="39">
        <v>222.10900000000001</v>
      </c>
      <c r="B76" s="38" t="str">
        <f t="array" ref="B76">VLOOKUP(A76,$Q$2:$R$187,{2},0)</f>
        <v>자주포야전정비</v>
      </c>
      <c r="C76" s="56" t="s">
        <v>247</v>
      </c>
      <c r="D76" s="58" t="s">
        <v>247</v>
      </c>
      <c r="E76" s="58" t="s">
        <v>247</v>
      </c>
      <c r="F76" s="58" t="s">
        <v>247</v>
      </c>
      <c r="G76" s="58">
        <v>53</v>
      </c>
      <c r="H76" s="58" t="s">
        <v>247</v>
      </c>
      <c r="I76" s="58">
        <v>53</v>
      </c>
      <c r="J76" s="58" t="s">
        <v>247</v>
      </c>
      <c r="K76" s="58">
        <v>40</v>
      </c>
      <c r="L76" s="58" t="s">
        <v>247</v>
      </c>
      <c r="M76" s="58">
        <v>52</v>
      </c>
      <c r="N76" s="58" t="s">
        <v>247</v>
      </c>
      <c r="O76" s="59" t="s">
        <v>247</v>
      </c>
      <c r="Q76">
        <v>163.11199999999999</v>
      </c>
      <c r="R76" t="s">
        <v>246</v>
      </c>
    </row>
    <row r="77" spans="1:18" x14ac:dyDescent="0.4">
      <c r="A77" s="39">
        <v>222.114</v>
      </c>
      <c r="B77" s="38" t="str">
        <f t="array" ref="B77">VLOOKUP(A77,$Q$2:$R$187,{2},0)</f>
        <v>장갑차야전정비</v>
      </c>
      <c r="C77" s="38" t="s">
        <v>247</v>
      </c>
      <c r="D77" s="38" t="s">
        <v>247</v>
      </c>
      <c r="E77" s="38" t="s">
        <v>247</v>
      </c>
      <c r="F77" s="38" t="s">
        <v>247</v>
      </c>
      <c r="G77" s="38" t="s">
        <v>247</v>
      </c>
      <c r="H77" s="38" t="s">
        <v>247</v>
      </c>
      <c r="I77" s="38">
        <v>53</v>
      </c>
      <c r="J77" s="38" t="s">
        <v>247</v>
      </c>
      <c r="K77" s="38" t="s">
        <v>247</v>
      </c>
      <c r="L77" s="38" t="s">
        <v>247</v>
      </c>
      <c r="M77" s="38">
        <v>65</v>
      </c>
      <c r="N77" s="38" t="s">
        <v>247</v>
      </c>
      <c r="O77" s="5" t="s">
        <v>247</v>
      </c>
      <c r="Q77">
        <v>163.113</v>
      </c>
      <c r="R77" t="s">
        <v>137</v>
      </c>
    </row>
    <row r="78" spans="1:18" x14ac:dyDescent="0.4">
      <c r="A78" s="39">
        <v>223.101</v>
      </c>
      <c r="B78" s="38" t="str">
        <f t="array" ref="B78">VLOOKUP(A78,$Q$2:$R$187,{2},0)</f>
        <v>유선장비정비</v>
      </c>
      <c r="C78" s="58" t="s">
        <v>247</v>
      </c>
      <c r="D78" s="58">
        <v>54</v>
      </c>
      <c r="E78" s="58">
        <v>51</v>
      </c>
      <c r="F78" s="58" t="s">
        <v>247</v>
      </c>
      <c r="G78" s="58" t="s">
        <v>247</v>
      </c>
      <c r="H78" s="58">
        <v>54</v>
      </c>
      <c r="I78" s="58" t="s">
        <v>247</v>
      </c>
      <c r="J78" s="58" t="s">
        <v>247</v>
      </c>
      <c r="K78" s="58">
        <v>49</v>
      </c>
      <c r="L78" s="58" t="s">
        <v>247</v>
      </c>
      <c r="M78" s="58" t="s">
        <v>247</v>
      </c>
      <c r="N78" s="58">
        <v>56</v>
      </c>
      <c r="O78" s="59" t="s">
        <v>247</v>
      </c>
      <c r="Q78">
        <v>163.114</v>
      </c>
      <c r="R78" t="s">
        <v>138</v>
      </c>
    </row>
    <row r="79" spans="1:18" x14ac:dyDescent="0.4">
      <c r="A79" s="39">
        <v>223.10300000000001</v>
      </c>
      <c r="B79" s="38" t="str">
        <f t="array" ref="B79">VLOOKUP(A79,$Q$2:$R$187,{2},0)</f>
        <v>무선장비정비</v>
      </c>
      <c r="C79" s="58" t="s">
        <v>247</v>
      </c>
      <c r="D79" s="58">
        <v>56</v>
      </c>
      <c r="E79" s="58">
        <v>49</v>
      </c>
      <c r="F79" s="58" t="s">
        <v>247</v>
      </c>
      <c r="G79" s="58" t="s">
        <v>247</v>
      </c>
      <c r="H79" s="58">
        <v>55</v>
      </c>
      <c r="I79" s="58" t="s">
        <v>247</v>
      </c>
      <c r="J79" s="58" t="s">
        <v>247</v>
      </c>
      <c r="K79" s="58">
        <v>50</v>
      </c>
      <c r="L79" s="58" t="s">
        <v>247</v>
      </c>
      <c r="M79" s="58" t="s">
        <v>247</v>
      </c>
      <c r="N79" s="58">
        <v>47</v>
      </c>
      <c r="O79" s="59" t="s">
        <v>247</v>
      </c>
      <c r="Q79">
        <v>163.11500000000001</v>
      </c>
      <c r="R79" t="s">
        <v>139</v>
      </c>
    </row>
    <row r="80" spans="1:18" x14ac:dyDescent="0.4">
      <c r="A80" s="39">
        <v>223.10400000000001</v>
      </c>
      <c r="B80" s="38" t="str">
        <f t="array" ref="B80">VLOOKUP(A80,$Q$2:$R$187,{2},0)</f>
        <v>다중무선장비정비</v>
      </c>
      <c r="C80" s="38" t="s">
        <v>247</v>
      </c>
      <c r="D80" s="38">
        <v>60</v>
      </c>
      <c r="E80" s="38">
        <v>56</v>
      </c>
      <c r="F80" s="38" t="s">
        <v>247</v>
      </c>
      <c r="G80" s="38" t="s">
        <v>247</v>
      </c>
      <c r="H80" s="38" t="s">
        <v>247</v>
      </c>
      <c r="I80" s="38" t="s">
        <v>247</v>
      </c>
      <c r="J80" s="38" t="s">
        <v>247</v>
      </c>
      <c r="K80" s="38" t="s">
        <v>247</v>
      </c>
      <c r="L80" s="38" t="s">
        <v>247</v>
      </c>
      <c r="M80" s="38" t="s">
        <v>247</v>
      </c>
      <c r="N80" s="38" t="s">
        <v>247</v>
      </c>
      <c r="O80" s="5" t="s">
        <v>247</v>
      </c>
      <c r="Q80">
        <v>163.11600000000001</v>
      </c>
      <c r="R80" t="s">
        <v>140</v>
      </c>
    </row>
    <row r="81" spans="1:18" x14ac:dyDescent="0.4">
      <c r="A81" s="39">
        <v>223.10599999999999</v>
      </c>
      <c r="B81" s="38" t="str">
        <f t="array" ref="B81">VLOOKUP(A81,$Q$2:$R$187,{2},0)</f>
        <v>특수통신장비정비</v>
      </c>
      <c r="C81" s="38" t="s">
        <v>247</v>
      </c>
      <c r="D81" s="38" t="s">
        <v>247</v>
      </c>
      <c r="E81" s="38">
        <v>52</v>
      </c>
      <c r="F81" s="38">
        <v>77</v>
      </c>
      <c r="G81" s="38" t="s">
        <v>247</v>
      </c>
      <c r="H81" s="38" t="s">
        <v>247</v>
      </c>
      <c r="I81" s="38" t="s">
        <v>247</v>
      </c>
      <c r="J81" s="38" t="s">
        <v>247</v>
      </c>
      <c r="K81" s="38" t="s">
        <v>247</v>
      </c>
      <c r="L81" s="38" t="s">
        <v>247</v>
      </c>
      <c r="M81" s="38" t="s">
        <v>247</v>
      </c>
      <c r="N81" s="38" t="s">
        <v>247</v>
      </c>
      <c r="O81" s="5" t="s">
        <v>247</v>
      </c>
      <c r="Q81">
        <v>171.101</v>
      </c>
      <c r="R81" t="s">
        <v>68</v>
      </c>
    </row>
    <row r="82" spans="1:18" x14ac:dyDescent="0.4">
      <c r="A82" s="39">
        <v>224.101</v>
      </c>
      <c r="B82" s="38" t="str">
        <f t="array" ref="B82">VLOOKUP(A82,$Q$2:$R$187,{2},0)</f>
        <v>차량정비</v>
      </c>
      <c r="C82" s="58" t="s">
        <v>247</v>
      </c>
      <c r="D82" s="58" t="s">
        <v>247</v>
      </c>
      <c r="E82" s="58" t="s">
        <v>247</v>
      </c>
      <c r="F82" s="58">
        <v>78</v>
      </c>
      <c r="G82" s="58" t="s">
        <v>247</v>
      </c>
      <c r="H82" s="58">
        <v>74</v>
      </c>
      <c r="I82" s="58">
        <v>75</v>
      </c>
      <c r="J82" s="58">
        <v>60</v>
      </c>
      <c r="K82" s="58">
        <v>74</v>
      </c>
      <c r="L82" s="58">
        <v>68</v>
      </c>
      <c r="M82" s="58">
        <v>56</v>
      </c>
      <c r="N82" s="58">
        <v>47</v>
      </c>
      <c r="O82" s="59" t="s">
        <v>247</v>
      </c>
      <c r="Q82">
        <v>171.102</v>
      </c>
      <c r="R82" t="s">
        <v>69</v>
      </c>
    </row>
    <row r="83" spans="1:18" x14ac:dyDescent="0.4">
      <c r="A83" s="39">
        <v>224.102</v>
      </c>
      <c r="B83" s="38" t="str">
        <f t="array" ref="B83">VLOOKUP(A83,$Q$2:$R$187,{2},0)</f>
        <v>공병장비정비</v>
      </c>
      <c r="C83" s="58" t="s">
        <v>247</v>
      </c>
      <c r="D83" s="58" t="s">
        <v>247</v>
      </c>
      <c r="E83" s="58">
        <v>51</v>
      </c>
      <c r="F83" s="58" t="s">
        <v>247</v>
      </c>
      <c r="G83" s="58" t="s">
        <v>247</v>
      </c>
      <c r="H83" s="58" t="s">
        <v>247</v>
      </c>
      <c r="I83" s="58">
        <v>67</v>
      </c>
      <c r="J83" s="58" t="s">
        <v>247</v>
      </c>
      <c r="K83" s="58">
        <v>68</v>
      </c>
      <c r="L83" s="58" t="s">
        <v>247</v>
      </c>
      <c r="M83" s="58" t="s">
        <v>247</v>
      </c>
      <c r="N83" s="58">
        <v>54</v>
      </c>
      <c r="O83" s="59" t="s">
        <v>247</v>
      </c>
      <c r="Q83">
        <v>171.10300000000001</v>
      </c>
      <c r="R83" t="s">
        <v>141</v>
      </c>
    </row>
    <row r="84" spans="1:18" x14ac:dyDescent="0.4">
      <c r="A84" s="39">
        <v>224.10300000000001</v>
      </c>
      <c r="B84" s="38" t="str">
        <f t="array" ref="B84">VLOOKUP(A84,$Q$2:$R$187,{2},0)</f>
        <v>발전기정비</v>
      </c>
      <c r="C84" s="58" t="s">
        <v>247</v>
      </c>
      <c r="D84" s="58">
        <v>62</v>
      </c>
      <c r="E84" s="58">
        <v>55</v>
      </c>
      <c r="F84" s="58" t="s">
        <v>247</v>
      </c>
      <c r="G84" s="58" t="s">
        <v>247</v>
      </c>
      <c r="H84" s="58">
        <v>79</v>
      </c>
      <c r="I84" s="58" t="s">
        <v>247</v>
      </c>
      <c r="J84" s="58" t="s">
        <v>247</v>
      </c>
      <c r="K84" s="58">
        <v>77</v>
      </c>
      <c r="L84" s="58" t="s">
        <v>247</v>
      </c>
      <c r="M84" s="58" t="s">
        <v>247</v>
      </c>
      <c r="N84" s="58">
        <v>54</v>
      </c>
      <c r="O84" s="59" t="s">
        <v>247</v>
      </c>
      <c r="Q84">
        <v>171.10400000000001</v>
      </c>
      <c r="R84" t="s">
        <v>142</v>
      </c>
    </row>
    <row r="85" spans="1:18" x14ac:dyDescent="0.4">
      <c r="A85" s="39">
        <v>224.10400000000001</v>
      </c>
      <c r="B85" s="38" t="str">
        <f t="array" ref="B85">VLOOKUP(A85,$Q$2:$R$187,{2},0)</f>
        <v>용접/기계공작</v>
      </c>
      <c r="C85" s="58" t="s">
        <v>247</v>
      </c>
      <c r="D85" s="58">
        <v>59</v>
      </c>
      <c r="E85" s="58">
        <v>58</v>
      </c>
      <c r="F85" s="58" t="s">
        <v>247</v>
      </c>
      <c r="G85" s="58" t="s">
        <v>247</v>
      </c>
      <c r="H85" s="58">
        <v>82</v>
      </c>
      <c r="I85" s="58" t="s">
        <v>247</v>
      </c>
      <c r="J85" s="58" t="s">
        <v>247</v>
      </c>
      <c r="K85" s="58">
        <v>76</v>
      </c>
      <c r="L85" s="58" t="s">
        <v>247</v>
      </c>
      <c r="M85" s="58" t="s">
        <v>247</v>
      </c>
      <c r="N85" s="58">
        <v>54</v>
      </c>
      <c r="O85" s="59" t="s">
        <v>247</v>
      </c>
      <c r="Q85">
        <v>171.10499999999999</v>
      </c>
      <c r="R85" t="s">
        <v>143</v>
      </c>
    </row>
    <row r="86" spans="1:18" x14ac:dyDescent="0.4">
      <c r="A86" s="39">
        <v>224.10499999999999</v>
      </c>
      <c r="B86" s="38" t="str">
        <f t="array" ref="B86">VLOOKUP(A86,$Q$2:$R$187,{2},0)</f>
        <v>병참장비정비</v>
      </c>
      <c r="C86" s="38" t="s">
        <v>247</v>
      </c>
      <c r="D86" s="38" t="s">
        <v>247</v>
      </c>
      <c r="E86" s="38">
        <v>80</v>
      </c>
      <c r="F86" s="38" t="s">
        <v>247</v>
      </c>
      <c r="G86" s="38" t="s">
        <v>247</v>
      </c>
      <c r="H86" s="38">
        <v>77</v>
      </c>
      <c r="I86" s="38" t="s">
        <v>247</v>
      </c>
      <c r="J86" s="38" t="s">
        <v>247</v>
      </c>
      <c r="K86" s="38" t="s">
        <v>247</v>
      </c>
      <c r="L86" s="38" t="s">
        <v>247</v>
      </c>
      <c r="M86" s="38" t="s">
        <v>247</v>
      </c>
      <c r="N86" s="38" t="s">
        <v>247</v>
      </c>
      <c r="O86" s="5" t="s">
        <v>247</v>
      </c>
      <c r="Q86">
        <v>171.10599999999999</v>
      </c>
      <c r="R86" t="s">
        <v>144</v>
      </c>
    </row>
    <row r="87" spans="1:18" x14ac:dyDescent="0.4">
      <c r="A87" s="39">
        <v>224.10599999999999</v>
      </c>
      <c r="B87" s="38" t="str">
        <f t="array" ref="B87">VLOOKUP(A87,$Q$2:$R$187,{2},0)</f>
        <v>화생방장비정비</v>
      </c>
      <c r="C87" s="58" t="s">
        <v>247</v>
      </c>
      <c r="D87" s="58" t="s">
        <v>247</v>
      </c>
      <c r="E87" s="58">
        <v>54</v>
      </c>
      <c r="F87" s="58">
        <v>53</v>
      </c>
      <c r="G87" s="58">
        <v>62</v>
      </c>
      <c r="H87" s="58">
        <v>56</v>
      </c>
      <c r="I87" s="58">
        <v>65</v>
      </c>
      <c r="J87" s="58">
        <v>55</v>
      </c>
      <c r="K87" s="58">
        <v>52</v>
      </c>
      <c r="L87" s="58" t="s">
        <v>247</v>
      </c>
      <c r="M87" s="58">
        <v>53</v>
      </c>
      <c r="N87" s="58" t="s">
        <v>247</v>
      </c>
      <c r="O87" s="59" t="s">
        <v>247</v>
      </c>
      <c r="Q87">
        <v>171.107</v>
      </c>
      <c r="R87" t="s">
        <v>70</v>
      </c>
    </row>
    <row r="88" spans="1:18" x14ac:dyDescent="0.4">
      <c r="A88" s="39">
        <v>224.107</v>
      </c>
      <c r="B88" s="38" t="str">
        <f t="array" ref="B88">VLOOKUP(A88,$Q$2:$R$187,{2},0)</f>
        <v>의무장비정비</v>
      </c>
      <c r="C88" s="38" t="s">
        <v>247</v>
      </c>
      <c r="D88" s="38" t="s">
        <v>247</v>
      </c>
      <c r="E88" s="38">
        <v>56</v>
      </c>
      <c r="F88" s="38" t="s">
        <v>247</v>
      </c>
      <c r="G88" s="38" t="s">
        <v>247</v>
      </c>
      <c r="H88" s="38">
        <v>67</v>
      </c>
      <c r="I88" s="38" t="s">
        <v>247</v>
      </c>
      <c r="J88" s="38" t="s">
        <v>247</v>
      </c>
      <c r="K88" s="38" t="s">
        <v>247</v>
      </c>
      <c r="L88" s="38">
        <v>59</v>
      </c>
      <c r="M88" s="38" t="s">
        <v>247</v>
      </c>
      <c r="N88" s="38" t="s">
        <v>247</v>
      </c>
      <c r="O88" s="5" t="s">
        <v>247</v>
      </c>
      <c r="Q88">
        <v>171.108</v>
      </c>
      <c r="R88" t="s">
        <v>145</v>
      </c>
    </row>
    <row r="89" spans="1:18" x14ac:dyDescent="0.4">
      <c r="A89" s="39">
        <v>225.101</v>
      </c>
      <c r="B89" s="38" t="str">
        <f t="array" ref="B89">VLOOKUP(A89,$Q$2:$R$187,{2},0)</f>
        <v>탄약관리</v>
      </c>
      <c r="C89" s="58">
        <v>58</v>
      </c>
      <c r="D89" s="58" t="s">
        <v>247</v>
      </c>
      <c r="E89" s="58">
        <v>48</v>
      </c>
      <c r="F89" s="58">
        <v>56</v>
      </c>
      <c r="G89" s="58">
        <v>54</v>
      </c>
      <c r="H89" s="58">
        <v>54</v>
      </c>
      <c r="I89" s="58">
        <v>54</v>
      </c>
      <c r="J89" s="58">
        <v>50</v>
      </c>
      <c r="K89" s="58">
        <v>48</v>
      </c>
      <c r="L89" s="58">
        <v>44</v>
      </c>
      <c r="M89" s="58">
        <v>41</v>
      </c>
      <c r="N89" s="58">
        <v>40</v>
      </c>
      <c r="O89" s="59">
        <v>59</v>
      </c>
      <c r="Q89">
        <v>172.101</v>
      </c>
      <c r="R89" t="s">
        <v>146</v>
      </c>
    </row>
    <row r="90" spans="1:18" x14ac:dyDescent="0.4">
      <c r="A90" s="39">
        <v>226.101</v>
      </c>
      <c r="B90" s="38" t="str">
        <f t="array" ref="B90">VLOOKUP(A90,$Q$2:$R$187,{2},0)</f>
        <v>장비수리부속공구보급</v>
      </c>
      <c r="C90" s="56" t="s">
        <v>247</v>
      </c>
      <c r="D90" s="38" t="s">
        <v>247</v>
      </c>
      <c r="E90" s="38" t="s">
        <v>247</v>
      </c>
      <c r="F90" s="38">
        <v>54</v>
      </c>
      <c r="G90" s="38" t="s">
        <v>247</v>
      </c>
      <c r="H90" s="38">
        <v>55</v>
      </c>
      <c r="I90" s="38" t="s">
        <v>247</v>
      </c>
      <c r="J90" s="38">
        <v>53</v>
      </c>
      <c r="K90" s="38" t="s">
        <v>247</v>
      </c>
      <c r="L90" s="38">
        <v>52</v>
      </c>
      <c r="M90" s="38" t="s">
        <v>247</v>
      </c>
      <c r="N90" s="38">
        <v>52</v>
      </c>
      <c r="O90" s="5" t="s">
        <v>247</v>
      </c>
      <c r="Q90">
        <v>172.102</v>
      </c>
      <c r="R90" t="s">
        <v>147</v>
      </c>
    </row>
    <row r="91" spans="1:18" x14ac:dyDescent="0.4">
      <c r="A91" s="39">
        <v>231.101</v>
      </c>
      <c r="B91" s="38" t="str">
        <f t="array" ref="B91">VLOOKUP(A91,$Q$2:$R$187,{2},0)</f>
        <v>편성보급</v>
      </c>
      <c r="C91" s="58">
        <v>52</v>
      </c>
      <c r="D91" s="58">
        <v>58</v>
      </c>
      <c r="E91" s="58">
        <v>51</v>
      </c>
      <c r="F91" s="58">
        <v>60</v>
      </c>
      <c r="G91" s="58">
        <v>59</v>
      </c>
      <c r="H91" s="58">
        <v>59</v>
      </c>
      <c r="I91" s="58">
        <v>65</v>
      </c>
      <c r="J91" s="58">
        <v>54</v>
      </c>
      <c r="K91" s="58">
        <v>55</v>
      </c>
      <c r="L91" s="58">
        <v>51</v>
      </c>
      <c r="M91" s="58">
        <v>51</v>
      </c>
      <c r="N91" s="58">
        <v>49</v>
      </c>
      <c r="O91" s="59">
        <v>51</v>
      </c>
      <c r="Q91">
        <v>173.101</v>
      </c>
      <c r="R91" t="s">
        <v>71</v>
      </c>
    </row>
    <row r="92" spans="1:18" x14ac:dyDescent="0.4">
      <c r="A92" s="39">
        <v>231.102</v>
      </c>
      <c r="B92" s="38" t="str">
        <f t="array" ref="B92">VLOOKUP(A92,$Q$2:$R$187,{2},0)</f>
        <v>영현등록</v>
      </c>
      <c r="C92" s="56" t="s">
        <v>247</v>
      </c>
      <c r="D92" s="38" t="s">
        <v>247</v>
      </c>
      <c r="E92" s="38" t="s">
        <v>247</v>
      </c>
      <c r="F92" s="38">
        <v>67</v>
      </c>
      <c r="G92" s="38" t="s">
        <v>247</v>
      </c>
      <c r="H92" s="38" t="s">
        <v>247</v>
      </c>
      <c r="I92" s="38">
        <v>61</v>
      </c>
      <c r="J92" s="38" t="s">
        <v>247</v>
      </c>
      <c r="K92" s="38" t="s">
        <v>247</v>
      </c>
      <c r="L92" s="38">
        <v>64</v>
      </c>
      <c r="M92" s="38" t="s">
        <v>247</v>
      </c>
      <c r="N92" s="38" t="s">
        <v>247</v>
      </c>
      <c r="O92" s="5">
        <v>54</v>
      </c>
      <c r="Q92">
        <v>174.101</v>
      </c>
      <c r="R92" t="s">
        <v>148</v>
      </c>
    </row>
    <row r="93" spans="1:18" x14ac:dyDescent="0.4">
      <c r="A93" s="39">
        <v>231.10300000000001</v>
      </c>
      <c r="B93" s="38" t="str">
        <f t="array" ref="B93">VLOOKUP(A93,$Q$2:$R$187,{2},0)</f>
        <v>지원보급</v>
      </c>
      <c r="C93" s="58">
        <v>57</v>
      </c>
      <c r="D93" s="58">
        <v>61</v>
      </c>
      <c r="E93" s="58">
        <v>53</v>
      </c>
      <c r="F93" s="58">
        <v>58</v>
      </c>
      <c r="G93" s="58">
        <v>60</v>
      </c>
      <c r="H93" s="58">
        <v>63</v>
      </c>
      <c r="I93" s="58">
        <v>65</v>
      </c>
      <c r="J93" s="58">
        <v>54</v>
      </c>
      <c r="K93" s="58">
        <v>55</v>
      </c>
      <c r="L93" s="58">
        <v>54</v>
      </c>
      <c r="M93" s="58">
        <v>59</v>
      </c>
      <c r="N93" s="58">
        <v>47</v>
      </c>
      <c r="O93" s="59">
        <v>40</v>
      </c>
      <c r="Q93">
        <v>175.101</v>
      </c>
      <c r="R93" t="s">
        <v>149</v>
      </c>
    </row>
    <row r="94" spans="1:18" x14ac:dyDescent="0.4">
      <c r="A94" s="39">
        <v>231.10400000000001</v>
      </c>
      <c r="B94" s="38" t="str">
        <f t="array" ref="B94">VLOOKUP(A94,$Q$2:$R$187,{2},0)</f>
        <v>연료관리</v>
      </c>
      <c r="C94" s="56" t="s">
        <v>247</v>
      </c>
      <c r="D94" s="38" t="s">
        <v>247</v>
      </c>
      <c r="E94" s="38" t="s">
        <v>247</v>
      </c>
      <c r="F94" s="38">
        <v>49</v>
      </c>
      <c r="G94" s="38">
        <v>52</v>
      </c>
      <c r="H94" s="38">
        <v>53</v>
      </c>
      <c r="I94" s="38" t="s">
        <v>247</v>
      </c>
      <c r="J94" s="38" t="s">
        <v>247</v>
      </c>
      <c r="K94" s="38" t="s">
        <v>247</v>
      </c>
      <c r="L94" s="38">
        <v>46</v>
      </c>
      <c r="M94" s="38">
        <v>47</v>
      </c>
      <c r="N94" s="38">
        <v>41</v>
      </c>
      <c r="O94" s="5" t="s">
        <v>247</v>
      </c>
      <c r="Q94">
        <v>175.102</v>
      </c>
      <c r="R94" t="s">
        <v>150</v>
      </c>
    </row>
    <row r="95" spans="1:18" x14ac:dyDescent="0.4">
      <c r="A95" s="39">
        <v>231.10599999999999</v>
      </c>
      <c r="B95" s="38" t="str">
        <f t="array" ref="B95">VLOOKUP(A95,$Q$2:$R$187,{2},0)</f>
        <v>물자근무지원</v>
      </c>
      <c r="C95" s="58">
        <v>54</v>
      </c>
      <c r="D95" s="58" t="s">
        <v>247</v>
      </c>
      <c r="E95" s="58">
        <v>51</v>
      </c>
      <c r="F95" s="58" t="s">
        <v>247</v>
      </c>
      <c r="G95" s="58">
        <v>59</v>
      </c>
      <c r="H95" s="58" t="s">
        <v>247</v>
      </c>
      <c r="I95" s="58">
        <v>56</v>
      </c>
      <c r="J95" s="58" t="s">
        <v>247</v>
      </c>
      <c r="K95" s="58">
        <v>54</v>
      </c>
      <c r="L95" s="58" t="s">
        <v>247</v>
      </c>
      <c r="M95" s="58">
        <v>50</v>
      </c>
      <c r="N95" s="58" t="s">
        <v>247</v>
      </c>
      <c r="O95" s="59">
        <v>54</v>
      </c>
      <c r="Q95">
        <v>175.10300000000001</v>
      </c>
      <c r="R95" t="s">
        <v>151</v>
      </c>
    </row>
    <row r="96" spans="1:18" x14ac:dyDescent="0.4">
      <c r="A96" s="39">
        <v>231.107</v>
      </c>
      <c r="B96" s="38" t="str">
        <f t="array" ref="B96">VLOOKUP(A96,$Q$2:$R$187,{2},0)</f>
        <v>조리</v>
      </c>
      <c r="C96" s="58">
        <v>46</v>
      </c>
      <c r="D96" s="58">
        <v>46</v>
      </c>
      <c r="E96" s="58">
        <v>42</v>
      </c>
      <c r="F96" s="58">
        <v>47</v>
      </c>
      <c r="G96" s="58">
        <v>47</v>
      </c>
      <c r="H96" s="58">
        <v>45</v>
      </c>
      <c r="I96" s="58">
        <v>44</v>
      </c>
      <c r="J96" s="58">
        <v>43</v>
      </c>
      <c r="K96" s="58">
        <v>42</v>
      </c>
      <c r="L96" s="58">
        <v>40</v>
      </c>
      <c r="M96" s="58">
        <v>40</v>
      </c>
      <c r="N96" s="58">
        <v>40</v>
      </c>
      <c r="O96" s="59">
        <v>40</v>
      </c>
      <c r="Q96">
        <v>181.101</v>
      </c>
      <c r="R96" t="s">
        <v>152</v>
      </c>
    </row>
    <row r="97" spans="1:18" x14ac:dyDescent="0.4">
      <c r="A97" s="39">
        <v>241.1</v>
      </c>
      <c r="B97" s="38" t="str">
        <f t="array" ref="B97">VLOOKUP(A97,$Q$2:$R$187,{2},0)</f>
        <v>수송운용(차량운전)</v>
      </c>
      <c r="C97" s="58">
        <v>93</v>
      </c>
      <c r="D97" s="58">
        <v>93</v>
      </c>
      <c r="E97" s="58">
        <v>93</v>
      </c>
      <c r="F97" s="58">
        <v>96</v>
      </c>
      <c r="G97" s="58">
        <v>96</v>
      </c>
      <c r="H97" s="58">
        <v>92</v>
      </c>
      <c r="I97" s="58">
        <v>91</v>
      </c>
      <c r="J97" s="58">
        <v>89</v>
      </c>
      <c r="K97" s="58">
        <v>87</v>
      </c>
      <c r="L97" s="58">
        <v>87</v>
      </c>
      <c r="M97" s="58">
        <v>87</v>
      </c>
      <c r="N97" s="58">
        <v>87</v>
      </c>
      <c r="O97" s="59">
        <v>87</v>
      </c>
      <c r="Q97">
        <v>182.101</v>
      </c>
      <c r="R97" t="s">
        <v>153</v>
      </c>
    </row>
    <row r="98" spans="1:18" x14ac:dyDescent="0.4">
      <c r="A98" s="39">
        <v>241.10400000000001</v>
      </c>
      <c r="B98" s="38" t="str">
        <f t="array" ref="B98">VLOOKUP(A98,$Q$2:$R$187,{2},0)</f>
        <v>견인차량운전</v>
      </c>
      <c r="C98" s="56" t="s">
        <v>247</v>
      </c>
      <c r="D98" s="58">
        <v>95</v>
      </c>
      <c r="E98" s="58">
        <v>89</v>
      </c>
      <c r="F98" s="58">
        <v>93</v>
      </c>
      <c r="G98" s="58">
        <v>94</v>
      </c>
      <c r="H98" s="58">
        <v>91</v>
      </c>
      <c r="I98" s="58">
        <v>91</v>
      </c>
      <c r="J98" s="58">
        <v>88</v>
      </c>
      <c r="K98" s="58">
        <v>87</v>
      </c>
      <c r="L98" s="58">
        <v>88</v>
      </c>
      <c r="M98" s="58">
        <v>89</v>
      </c>
      <c r="N98" s="58">
        <v>90</v>
      </c>
      <c r="O98" s="59" t="s">
        <v>247</v>
      </c>
      <c r="Q98">
        <v>182.102</v>
      </c>
      <c r="R98" t="s">
        <v>154</v>
      </c>
    </row>
    <row r="99" spans="1:18" x14ac:dyDescent="0.4">
      <c r="A99" s="39">
        <v>241.10499999999999</v>
      </c>
      <c r="B99" s="38" t="str">
        <f t="array" ref="B99">VLOOKUP(A99,$Q$2:$R$187,{2},0)</f>
        <v>지게차운전</v>
      </c>
      <c r="C99" s="58">
        <v>65</v>
      </c>
      <c r="D99" s="58" t="s">
        <v>247</v>
      </c>
      <c r="E99" s="58">
        <v>61</v>
      </c>
      <c r="F99" s="58">
        <v>65</v>
      </c>
      <c r="G99" s="58">
        <v>66</v>
      </c>
      <c r="H99" s="58" t="s">
        <v>247</v>
      </c>
      <c r="I99" s="58">
        <v>64</v>
      </c>
      <c r="J99" s="58">
        <v>65</v>
      </c>
      <c r="K99" s="58">
        <v>64</v>
      </c>
      <c r="L99" s="58">
        <v>62</v>
      </c>
      <c r="M99" s="58">
        <v>55</v>
      </c>
      <c r="N99" s="58">
        <v>55</v>
      </c>
      <c r="O99" s="59" t="s">
        <v>247</v>
      </c>
      <c r="Q99">
        <v>182.10300000000001</v>
      </c>
      <c r="R99" t="s">
        <v>155</v>
      </c>
    </row>
    <row r="100" spans="1:18" x14ac:dyDescent="0.4">
      <c r="A100" s="39">
        <v>241.10599999999999</v>
      </c>
      <c r="B100" s="38" t="str">
        <f t="array" ref="B100">VLOOKUP(A100,$Q$2:$R$187,{2},0)</f>
        <v>차륜형장갑차운전</v>
      </c>
      <c r="C100" s="38">
        <v>97</v>
      </c>
      <c r="D100" s="38" t="s">
        <v>247</v>
      </c>
      <c r="E100" s="38" t="s">
        <v>247</v>
      </c>
      <c r="F100" s="38" t="s">
        <v>247</v>
      </c>
      <c r="G100" s="38" t="s">
        <v>247</v>
      </c>
      <c r="H100" s="38" t="s">
        <v>247</v>
      </c>
      <c r="I100" s="38" t="s">
        <v>247</v>
      </c>
      <c r="J100" s="38" t="s">
        <v>247</v>
      </c>
      <c r="K100" s="38" t="s">
        <v>247</v>
      </c>
      <c r="L100" s="38" t="s">
        <v>247</v>
      </c>
      <c r="M100" s="38" t="s">
        <v>247</v>
      </c>
      <c r="N100" s="38" t="s">
        <v>247</v>
      </c>
      <c r="O100" s="5" t="s">
        <v>247</v>
      </c>
      <c r="Q100">
        <v>182.10400000000001</v>
      </c>
      <c r="R100" t="s">
        <v>156</v>
      </c>
    </row>
    <row r="101" spans="1:18" x14ac:dyDescent="0.4">
      <c r="A101" s="39">
        <v>241.107</v>
      </c>
      <c r="B101" s="38" t="str">
        <f t="array" ref="B101">VLOOKUP(A101,$Q$2:$R$187,{2},0)</f>
        <v>차량부대정비</v>
      </c>
      <c r="C101" s="58">
        <v>54</v>
      </c>
      <c r="D101" s="58">
        <v>52</v>
      </c>
      <c r="E101" s="58">
        <v>50</v>
      </c>
      <c r="F101" s="58">
        <v>52</v>
      </c>
      <c r="G101" s="58">
        <v>78</v>
      </c>
      <c r="H101" s="58">
        <v>56</v>
      </c>
      <c r="I101" s="58">
        <v>53</v>
      </c>
      <c r="J101" s="58">
        <v>42</v>
      </c>
      <c r="K101" s="58">
        <v>55</v>
      </c>
      <c r="L101" s="58">
        <v>50</v>
      </c>
      <c r="M101" s="58">
        <v>48</v>
      </c>
      <c r="N101" s="58">
        <v>50</v>
      </c>
      <c r="O101" s="59">
        <v>51</v>
      </c>
      <c r="Q101">
        <v>182.10499999999999</v>
      </c>
      <c r="R101" t="s">
        <v>157</v>
      </c>
    </row>
    <row r="102" spans="1:18" x14ac:dyDescent="0.4">
      <c r="A102" s="39">
        <v>241.108</v>
      </c>
      <c r="B102" s="38" t="str">
        <f t="array" ref="B102">VLOOKUP(A102,$Q$2:$R$187,{2},0)</f>
        <v>K-53계열차량운전</v>
      </c>
      <c r="C102" s="56" t="s">
        <v>247</v>
      </c>
      <c r="D102" s="58" t="s">
        <v>247</v>
      </c>
      <c r="E102" s="58" t="s">
        <v>247</v>
      </c>
      <c r="F102" s="58">
        <v>94</v>
      </c>
      <c r="G102" s="58">
        <v>93</v>
      </c>
      <c r="H102" s="58">
        <v>90</v>
      </c>
      <c r="I102" s="58" t="s">
        <v>247</v>
      </c>
      <c r="J102" s="58" t="s">
        <v>247</v>
      </c>
      <c r="K102" s="58">
        <v>87</v>
      </c>
      <c r="L102" s="58" t="s">
        <v>247</v>
      </c>
      <c r="M102" s="58">
        <v>89</v>
      </c>
      <c r="N102" s="58">
        <v>87</v>
      </c>
      <c r="O102" s="59" t="s">
        <v>247</v>
      </c>
      <c r="Q102">
        <v>182.10599999999999</v>
      </c>
      <c r="R102" t="s">
        <v>158</v>
      </c>
    </row>
    <row r="103" spans="1:18" x14ac:dyDescent="0.4">
      <c r="A103" s="39">
        <v>241.10900000000001</v>
      </c>
      <c r="B103" s="38" t="str">
        <f t="array" ref="B103">VLOOKUP(A103,$Q$2:$R$187,{2},0)</f>
        <v>구난차량운전</v>
      </c>
      <c r="C103" s="58">
        <v>111</v>
      </c>
      <c r="D103" s="58">
        <v>93</v>
      </c>
      <c r="E103" s="58" t="s">
        <v>247</v>
      </c>
      <c r="F103" s="58">
        <v>93</v>
      </c>
      <c r="G103" s="58">
        <v>94</v>
      </c>
      <c r="H103" s="58">
        <v>91</v>
      </c>
      <c r="I103" s="58">
        <v>90</v>
      </c>
      <c r="J103" s="58">
        <v>88</v>
      </c>
      <c r="K103" s="58">
        <v>87</v>
      </c>
      <c r="L103" s="58">
        <v>87</v>
      </c>
      <c r="M103" s="58">
        <v>87</v>
      </c>
      <c r="N103" s="58">
        <v>88</v>
      </c>
      <c r="O103" s="59">
        <v>87</v>
      </c>
      <c r="Q103">
        <v>182.107</v>
      </c>
      <c r="R103" t="s">
        <v>159</v>
      </c>
    </row>
    <row r="104" spans="1:18" x14ac:dyDescent="0.4">
      <c r="A104" s="39">
        <v>241.113</v>
      </c>
      <c r="B104" s="38" t="str">
        <f t="array" ref="B104">VLOOKUP(A104,$Q$2:$R$187,{2},0)</f>
        <v>크레인차량운전</v>
      </c>
      <c r="C104" s="56" t="s">
        <v>247</v>
      </c>
      <c r="D104" s="38" t="s">
        <v>247</v>
      </c>
      <c r="E104" s="38">
        <v>91</v>
      </c>
      <c r="F104" s="38" t="s">
        <v>247</v>
      </c>
      <c r="G104" s="38">
        <v>91</v>
      </c>
      <c r="H104" s="38" t="s">
        <v>247</v>
      </c>
      <c r="I104" s="38">
        <v>89</v>
      </c>
      <c r="J104" s="38" t="s">
        <v>247</v>
      </c>
      <c r="K104" s="38" t="s">
        <v>247</v>
      </c>
      <c r="L104" s="38" t="s">
        <v>247</v>
      </c>
      <c r="M104" s="38">
        <v>87</v>
      </c>
      <c r="N104" s="38" t="s">
        <v>247</v>
      </c>
      <c r="O104" s="5" t="s">
        <v>247</v>
      </c>
      <c r="Q104">
        <v>182.108</v>
      </c>
      <c r="R104" t="s">
        <v>160</v>
      </c>
    </row>
    <row r="105" spans="1:18" x14ac:dyDescent="0.4">
      <c r="A105" s="39">
        <v>242.101</v>
      </c>
      <c r="B105" s="38" t="str">
        <f t="array" ref="B105">VLOOKUP(A105,$Q$2:$R$187,{2},0)</f>
        <v>전장이동통제</v>
      </c>
      <c r="C105" s="58" t="s">
        <v>247</v>
      </c>
      <c r="D105" s="58" t="s">
        <v>247</v>
      </c>
      <c r="E105" s="58" t="s">
        <v>247</v>
      </c>
      <c r="F105" s="58" t="s">
        <v>247</v>
      </c>
      <c r="G105" s="58">
        <v>69</v>
      </c>
      <c r="H105" s="58">
        <v>67</v>
      </c>
      <c r="I105" s="58" t="s">
        <v>247</v>
      </c>
      <c r="J105" s="58">
        <v>66</v>
      </c>
      <c r="K105" s="58">
        <v>65</v>
      </c>
      <c r="L105" s="58" t="s">
        <v>247</v>
      </c>
      <c r="M105" s="58">
        <v>57</v>
      </c>
      <c r="N105" s="58" t="s">
        <v>247</v>
      </c>
      <c r="O105" s="59">
        <v>50</v>
      </c>
      <c r="Q105">
        <v>182.10900000000001</v>
      </c>
      <c r="R105" t="s">
        <v>161</v>
      </c>
    </row>
    <row r="106" spans="1:18" x14ac:dyDescent="0.4">
      <c r="A106" s="39">
        <v>243.101</v>
      </c>
      <c r="B106" s="38" t="str">
        <f t="array" ref="B106">VLOOKUP(A106,$Q$2:$R$187,{2},0)</f>
        <v>항만운영</v>
      </c>
      <c r="C106" s="58" t="s">
        <v>247</v>
      </c>
      <c r="D106" s="58" t="s">
        <v>247</v>
      </c>
      <c r="E106" s="58">
        <v>59</v>
      </c>
      <c r="F106" s="58" t="s">
        <v>247</v>
      </c>
      <c r="G106" s="58">
        <v>71</v>
      </c>
      <c r="H106" s="58">
        <v>62</v>
      </c>
      <c r="I106" s="58">
        <v>65</v>
      </c>
      <c r="J106" s="58" t="s">
        <v>247</v>
      </c>
      <c r="K106" s="58">
        <v>63</v>
      </c>
      <c r="L106" s="58" t="s">
        <v>247</v>
      </c>
      <c r="M106" s="58">
        <v>69</v>
      </c>
      <c r="N106" s="58" t="s">
        <v>247</v>
      </c>
      <c r="O106" s="59" t="s">
        <v>247</v>
      </c>
      <c r="Q106">
        <v>182.11</v>
      </c>
      <c r="R106" t="s">
        <v>162</v>
      </c>
    </row>
    <row r="107" spans="1:18" x14ac:dyDescent="0.4">
      <c r="A107" s="39">
        <v>243.102</v>
      </c>
      <c r="B107" s="38" t="str">
        <f t="array" ref="B107">VLOOKUP(A107,$Q$2:$R$187,{2},0)</f>
        <v>선박운용</v>
      </c>
      <c r="C107" s="58" t="s">
        <v>247</v>
      </c>
      <c r="D107" s="58" t="s">
        <v>247</v>
      </c>
      <c r="E107" s="58">
        <v>52</v>
      </c>
      <c r="F107" s="58">
        <v>59</v>
      </c>
      <c r="G107" s="58">
        <v>57</v>
      </c>
      <c r="H107" s="58" t="s">
        <v>247</v>
      </c>
      <c r="I107" s="58">
        <v>60</v>
      </c>
      <c r="J107" s="58">
        <v>55</v>
      </c>
      <c r="K107" s="58">
        <v>54</v>
      </c>
      <c r="L107" s="58" t="s">
        <v>247</v>
      </c>
      <c r="M107" s="58">
        <v>54</v>
      </c>
      <c r="N107" s="58">
        <v>50</v>
      </c>
      <c r="O107" s="59" t="s">
        <v>247</v>
      </c>
      <c r="Q107">
        <v>182.11099999999999</v>
      </c>
      <c r="R107" t="s">
        <v>163</v>
      </c>
    </row>
    <row r="108" spans="1:18" x14ac:dyDescent="0.4">
      <c r="A108" s="39">
        <v>311.101</v>
      </c>
      <c r="B108" s="38" t="str">
        <f t="array" ref="B108">VLOOKUP(A108,$Q$2:$R$187,{2},0)</f>
        <v>일반행정</v>
      </c>
      <c r="C108" s="58" t="s">
        <v>247</v>
      </c>
      <c r="D108" s="58">
        <v>60</v>
      </c>
      <c r="E108" s="58">
        <v>68</v>
      </c>
      <c r="F108" s="58">
        <v>71</v>
      </c>
      <c r="G108" s="58">
        <v>70</v>
      </c>
      <c r="H108" s="58">
        <v>69</v>
      </c>
      <c r="I108" s="58">
        <v>68</v>
      </c>
      <c r="J108" s="58">
        <v>68</v>
      </c>
      <c r="K108" s="58">
        <v>65</v>
      </c>
      <c r="L108" s="58">
        <v>70</v>
      </c>
      <c r="M108" s="56" t="s">
        <v>247</v>
      </c>
      <c r="N108" s="58">
        <v>68</v>
      </c>
      <c r="O108" s="59">
        <v>53</v>
      </c>
      <c r="Q108">
        <v>211.101</v>
      </c>
      <c r="R108" t="s">
        <v>164</v>
      </c>
    </row>
    <row r="109" spans="1:18" x14ac:dyDescent="0.4">
      <c r="A109" s="39">
        <v>321.101</v>
      </c>
      <c r="B109" s="38" t="str">
        <f t="array" ref="B109">VLOOKUP(A109,$Q$2:$R$187,{2},0)</f>
        <v>군사경찰</v>
      </c>
      <c r="C109" s="58">
        <v>46</v>
      </c>
      <c r="D109" s="58">
        <v>46</v>
      </c>
      <c r="E109" s="58">
        <v>42</v>
      </c>
      <c r="F109" s="58">
        <v>47</v>
      </c>
      <c r="G109" s="58">
        <v>47</v>
      </c>
      <c r="H109" s="58">
        <v>44</v>
      </c>
      <c r="I109" s="58">
        <v>44</v>
      </c>
      <c r="J109" s="58">
        <v>44</v>
      </c>
      <c r="K109" s="58">
        <v>41</v>
      </c>
      <c r="L109" s="58">
        <v>41</v>
      </c>
      <c r="M109" s="58" t="s">
        <v>247</v>
      </c>
      <c r="N109" s="58">
        <v>40</v>
      </c>
      <c r="O109" s="59">
        <v>40</v>
      </c>
      <c r="Q109">
        <v>211.102</v>
      </c>
      <c r="R109" t="s">
        <v>165</v>
      </c>
    </row>
    <row r="110" spans="1:18" x14ac:dyDescent="0.4">
      <c r="A110" s="39">
        <v>331.101</v>
      </c>
      <c r="B110" s="38" t="str">
        <f t="array" ref="B110">VLOOKUP(A110,$Q$2:$R$187,{2},0)</f>
        <v>재정회계</v>
      </c>
      <c r="C110" s="56" t="s">
        <v>247</v>
      </c>
      <c r="D110" s="56" t="s">
        <v>247</v>
      </c>
      <c r="E110" s="58">
        <v>74</v>
      </c>
      <c r="F110" s="56" t="s">
        <v>247</v>
      </c>
      <c r="G110" s="58">
        <v>75</v>
      </c>
      <c r="H110" s="56" t="s">
        <v>247</v>
      </c>
      <c r="I110" s="58">
        <v>72</v>
      </c>
      <c r="J110" s="56" t="s">
        <v>247</v>
      </c>
      <c r="K110" s="58">
        <v>69</v>
      </c>
      <c r="L110" s="58">
        <v>68</v>
      </c>
      <c r="M110" s="58" t="s">
        <v>247</v>
      </c>
      <c r="N110" s="56" t="s">
        <v>247</v>
      </c>
      <c r="O110" s="57" t="s">
        <v>247</v>
      </c>
      <c r="Q110">
        <v>211.10300000000001</v>
      </c>
      <c r="R110" t="s">
        <v>166</v>
      </c>
    </row>
    <row r="111" spans="1:18" x14ac:dyDescent="0.4">
      <c r="A111" s="39">
        <v>341.101</v>
      </c>
      <c r="B111" s="38" t="str">
        <f t="array" ref="B111">VLOOKUP(A111,$Q$2:$R$187,{2},0)</f>
        <v>공보정훈</v>
      </c>
      <c r="C111" s="38">
        <v>68</v>
      </c>
      <c r="D111" s="56" t="s">
        <v>247</v>
      </c>
      <c r="E111" s="56" t="s">
        <v>247</v>
      </c>
      <c r="F111" s="38" t="s">
        <v>247</v>
      </c>
      <c r="G111" s="38">
        <v>74</v>
      </c>
      <c r="H111" s="38" t="s">
        <v>247</v>
      </c>
      <c r="I111" s="56" t="s">
        <v>247</v>
      </c>
      <c r="J111" s="38">
        <v>68</v>
      </c>
      <c r="K111" s="56" t="s">
        <v>247</v>
      </c>
      <c r="L111" s="56" t="s">
        <v>247</v>
      </c>
      <c r="M111" s="38">
        <v>65</v>
      </c>
      <c r="N111" s="38" t="s">
        <v>247</v>
      </c>
      <c r="O111" s="5" t="s">
        <v>247</v>
      </c>
      <c r="Q111">
        <v>211.10400000000001</v>
      </c>
      <c r="R111" t="s">
        <v>167</v>
      </c>
    </row>
    <row r="112" spans="1:18" x14ac:dyDescent="0.4">
      <c r="A112" s="39">
        <v>341.10199999999998</v>
      </c>
      <c r="B112" s="38" t="str">
        <f t="array" ref="B112">VLOOKUP(A112,$Q$2:$R$187,{2},0)</f>
        <v>영상제작</v>
      </c>
      <c r="C112" s="38">
        <v>81</v>
      </c>
      <c r="D112" s="56" t="s">
        <v>247</v>
      </c>
      <c r="E112" s="56" t="s">
        <v>247</v>
      </c>
      <c r="F112" s="38" t="s">
        <v>247</v>
      </c>
      <c r="G112" s="38">
        <v>80</v>
      </c>
      <c r="H112" s="38" t="s">
        <v>247</v>
      </c>
      <c r="I112" s="38" t="s">
        <v>247</v>
      </c>
      <c r="J112" s="38">
        <v>74</v>
      </c>
      <c r="K112" s="38" t="s">
        <v>247</v>
      </c>
      <c r="L112" s="38" t="s">
        <v>247</v>
      </c>
      <c r="M112" s="38">
        <v>61</v>
      </c>
      <c r="N112" s="38" t="s">
        <v>247</v>
      </c>
      <c r="O112" s="5" t="s">
        <v>247</v>
      </c>
      <c r="Q112">
        <v>221.101</v>
      </c>
      <c r="R112" t="s">
        <v>168</v>
      </c>
    </row>
    <row r="113" spans="1:18" x14ac:dyDescent="0.4">
      <c r="A113" s="39">
        <v>341.10300000000001</v>
      </c>
      <c r="B113" s="38" t="str">
        <f t="array" ref="B113">VLOOKUP(A113,$Q$2:$R$187,{2},0)</f>
        <v>사진운용/정비</v>
      </c>
      <c r="C113" s="38">
        <v>52</v>
      </c>
      <c r="D113" s="56" t="s">
        <v>247</v>
      </c>
      <c r="E113" s="56" t="s">
        <v>247</v>
      </c>
      <c r="F113" s="38">
        <v>78</v>
      </c>
      <c r="G113" s="56" t="s">
        <v>247</v>
      </c>
      <c r="H113" s="38" t="s">
        <v>247</v>
      </c>
      <c r="I113" s="38" t="s">
        <v>247</v>
      </c>
      <c r="J113" s="56" t="s">
        <v>247</v>
      </c>
      <c r="K113" s="38" t="s">
        <v>247</v>
      </c>
      <c r="L113" s="38" t="s">
        <v>247</v>
      </c>
      <c r="M113" s="56" t="s">
        <v>247</v>
      </c>
      <c r="N113" s="38" t="s">
        <v>247</v>
      </c>
      <c r="O113" s="5" t="s">
        <v>247</v>
      </c>
      <c r="Q113">
        <v>221.102</v>
      </c>
      <c r="R113" t="s">
        <v>169</v>
      </c>
    </row>
    <row r="114" spans="1:18" x14ac:dyDescent="0.4">
      <c r="A114" s="39">
        <v>411.101</v>
      </c>
      <c r="B114" s="38" t="str">
        <f t="array" ref="B114">VLOOKUP(A114,$Q$2:$R$187,{2},0)</f>
        <v>일반의무</v>
      </c>
      <c r="C114" s="38">
        <v>59</v>
      </c>
      <c r="D114" s="38">
        <v>52</v>
      </c>
      <c r="E114" s="56" t="s">
        <v>247</v>
      </c>
      <c r="F114" s="56" t="s">
        <v>247</v>
      </c>
      <c r="G114" s="38" t="s">
        <v>247</v>
      </c>
      <c r="H114" s="38" t="s">
        <v>247</v>
      </c>
      <c r="I114" s="38" t="s">
        <v>247</v>
      </c>
      <c r="J114" s="38" t="s">
        <v>247</v>
      </c>
      <c r="K114" s="38" t="s">
        <v>247</v>
      </c>
      <c r="L114" s="38" t="s">
        <v>247</v>
      </c>
      <c r="M114" s="38" t="s">
        <v>247</v>
      </c>
      <c r="N114" s="38" t="s">
        <v>247</v>
      </c>
      <c r="O114" s="5" t="s">
        <v>247</v>
      </c>
      <c r="Q114">
        <v>221.10300000000001</v>
      </c>
      <c r="R114" t="s">
        <v>170</v>
      </c>
    </row>
    <row r="115" spans="1:18" x14ac:dyDescent="0.4">
      <c r="A115" s="39">
        <v>411.10300000000001</v>
      </c>
      <c r="B115" s="38" t="str">
        <f t="array" ref="B115">VLOOKUP(A115,$Q$2:$R$187,{2},0)</f>
        <v>수의</v>
      </c>
      <c r="C115" s="56" t="s">
        <v>247</v>
      </c>
      <c r="D115" s="56" t="s">
        <v>247</v>
      </c>
      <c r="E115" s="56" t="s">
        <v>247</v>
      </c>
      <c r="F115" s="58" t="s">
        <v>247</v>
      </c>
      <c r="G115" s="58" t="s">
        <v>247</v>
      </c>
      <c r="H115" s="58">
        <v>64</v>
      </c>
      <c r="I115" s="58" t="s">
        <v>247</v>
      </c>
      <c r="J115" s="58" t="s">
        <v>247</v>
      </c>
      <c r="K115" s="58">
        <v>51</v>
      </c>
      <c r="L115" s="58" t="s">
        <v>247</v>
      </c>
      <c r="M115" s="58" t="s">
        <v>247</v>
      </c>
      <c r="N115" s="58" t="s">
        <v>247</v>
      </c>
      <c r="O115" s="59" t="s">
        <v>247</v>
      </c>
      <c r="Q115">
        <v>222.101</v>
      </c>
      <c r="R115" t="s">
        <v>171</v>
      </c>
    </row>
    <row r="116" spans="1:18" x14ac:dyDescent="0.4">
      <c r="A116" s="39">
        <v>411.108</v>
      </c>
      <c r="B116" s="38" t="str">
        <f t="array" ref="B116">VLOOKUP(A116,$Q$2:$R$187,{2},0)</f>
        <v>의무보급</v>
      </c>
      <c r="C116" s="56" t="s">
        <v>247</v>
      </c>
      <c r="D116" s="56" t="s">
        <v>247</v>
      </c>
      <c r="E116" s="38">
        <v>67</v>
      </c>
      <c r="F116" s="38" t="s">
        <v>247</v>
      </c>
      <c r="G116" s="38" t="s">
        <v>247</v>
      </c>
      <c r="H116" s="56" t="s">
        <v>247</v>
      </c>
      <c r="I116" s="38" t="s">
        <v>247</v>
      </c>
      <c r="J116" s="38">
        <v>68</v>
      </c>
      <c r="K116" s="56" t="s">
        <v>247</v>
      </c>
      <c r="L116" s="38" t="s">
        <v>247</v>
      </c>
      <c r="M116" s="38" t="s">
        <v>247</v>
      </c>
      <c r="N116" s="38" t="s">
        <v>247</v>
      </c>
      <c r="O116" s="5" t="s">
        <v>247</v>
      </c>
      <c r="Q116">
        <v>222.102</v>
      </c>
      <c r="R116" t="s">
        <v>172</v>
      </c>
    </row>
    <row r="117" spans="1:18" x14ac:dyDescent="0.4">
      <c r="A117" s="39">
        <v>412.101</v>
      </c>
      <c r="B117" s="38" t="str">
        <f t="array" ref="B117">VLOOKUP(A117,$Q$2:$R$187,{2},0)</f>
        <v>전문간호</v>
      </c>
      <c r="C117" s="56" t="s">
        <v>247</v>
      </c>
      <c r="D117" s="58">
        <v>77</v>
      </c>
      <c r="E117" s="58">
        <v>73</v>
      </c>
      <c r="F117" s="58" t="s">
        <v>247</v>
      </c>
      <c r="G117" s="58">
        <v>70</v>
      </c>
      <c r="H117" s="58" t="s">
        <v>247</v>
      </c>
      <c r="I117" s="58">
        <v>68</v>
      </c>
      <c r="J117" s="56" t="s">
        <v>247</v>
      </c>
      <c r="K117" s="58">
        <v>95</v>
      </c>
      <c r="L117" s="58" t="s">
        <v>247</v>
      </c>
      <c r="M117" s="58">
        <v>74</v>
      </c>
      <c r="N117" s="58" t="s">
        <v>247</v>
      </c>
      <c r="O117" s="59" t="s">
        <v>247</v>
      </c>
      <c r="Q117">
        <v>222.10300000000001</v>
      </c>
      <c r="R117" t="s">
        <v>173</v>
      </c>
    </row>
    <row r="118" spans="1:18" x14ac:dyDescent="0.4">
      <c r="A118" s="39">
        <v>412.10199999999998</v>
      </c>
      <c r="B118" s="38" t="str">
        <f t="array" ref="B118">VLOOKUP(A118,$Q$2:$R$187,{2},0)</f>
        <v>전문치과</v>
      </c>
      <c r="C118" s="56" t="s">
        <v>247</v>
      </c>
      <c r="D118" s="56" t="s">
        <v>247</v>
      </c>
      <c r="E118" s="58">
        <v>76</v>
      </c>
      <c r="F118" s="58" t="s">
        <v>247</v>
      </c>
      <c r="G118" s="56" t="s">
        <v>247</v>
      </c>
      <c r="H118" s="58" t="s">
        <v>247</v>
      </c>
      <c r="I118" s="58">
        <v>69</v>
      </c>
      <c r="J118" s="58" t="s">
        <v>247</v>
      </c>
      <c r="K118" s="58">
        <v>88</v>
      </c>
      <c r="L118" s="58" t="s">
        <v>247</v>
      </c>
      <c r="M118" s="58">
        <v>68</v>
      </c>
      <c r="N118" s="58" t="s">
        <v>247</v>
      </c>
      <c r="O118" s="59" t="s">
        <v>247</v>
      </c>
      <c r="Q118">
        <v>222.10400000000001</v>
      </c>
      <c r="R118" t="s">
        <v>174</v>
      </c>
    </row>
    <row r="119" spans="1:18" x14ac:dyDescent="0.4">
      <c r="A119" s="39">
        <v>412.10300000000001</v>
      </c>
      <c r="B119" s="38" t="str">
        <f t="array" ref="B119">VLOOKUP(A119,$Q$2:$R$187,{2},0)</f>
        <v>전문임상병리</v>
      </c>
      <c r="C119" s="56" t="s">
        <v>247</v>
      </c>
      <c r="D119" s="58">
        <v>71</v>
      </c>
      <c r="E119" s="58">
        <v>70</v>
      </c>
      <c r="F119" s="58" t="s">
        <v>247</v>
      </c>
      <c r="G119" s="58">
        <v>73</v>
      </c>
      <c r="H119" s="58" t="s">
        <v>247</v>
      </c>
      <c r="I119" s="58">
        <v>70</v>
      </c>
      <c r="J119" s="58" t="s">
        <v>247</v>
      </c>
      <c r="K119" s="58">
        <v>89</v>
      </c>
      <c r="L119" s="58" t="s">
        <v>247</v>
      </c>
      <c r="M119" s="58">
        <v>68</v>
      </c>
      <c r="N119" s="58" t="s">
        <v>247</v>
      </c>
      <c r="O119" s="59" t="s">
        <v>247</v>
      </c>
      <c r="Q119">
        <v>222.10499999999999</v>
      </c>
      <c r="R119" t="s">
        <v>175</v>
      </c>
    </row>
    <row r="120" spans="1:18" x14ac:dyDescent="0.4">
      <c r="A120" s="39">
        <v>412.10399999999998</v>
      </c>
      <c r="B120" s="38" t="str">
        <f t="array" ref="B120">VLOOKUP(A120,$Q$2:$R$187,{2},0)</f>
        <v>전문방사선촬영</v>
      </c>
      <c r="C120" s="56" t="s">
        <v>247</v>
      </c>
      <c r="D120" s="58">
        <v>77</v>
      </c>
      <c r="E120" s="58">
        <v>76</v>
      </c>
      <c r="F120" s="58" t="s">
        <v>247</v>
      </c>
      <c r="G120" s="58">
        <v>71</v>
      </c>
      <c r="H120" s="58" t="s">
        <v>247</v>
      </c>
      <c r="I120" s="58">
        <v>69</v>
      </c>
      <c r="J120" s="58" t="s">
        <v>247</v>
      </c>
      <c r="K120" s="58">
        <v>89</v>
      </c>
      <c r="L120" s="58" t="s">
        <v>247</v>
      </c>
      <c r="M120" s="58">
        <v>67</v>
      </c>
      <c r="N120" s="58">
        <v>69</v>
      </c>
      <c r="O120" s="59" t="s">
        <v>247</v>
      </c>
      <c r="Q120">
        <v>222.10599999999999</v>
      </c>
      <c r="R120" t="s">
        <v>176</v>
      </c>
    </row>
    <row r="121" spans="1:18" x14ac:dyDescent="0.4">
      <c r="A121" s="39">
        <v>412.10500000000002</v>
      </c>
      <c r="B121" s="38" t="str">
        <f t="array" ref="B121">VLOOKUP(A121,$Q$2:$R$187,{2},0)</f>
        <v>전문약제</v>
      </c>
      <c r="C121" s="58">
        <v>84</v>
      </c>
      <c r="D121" s="58">
        <v>80</v>
      </c>
      <c r="E121" s="58">
        <v>76</v>
      </c>
      <c r="F121" s="58" t="s">
        <v>247</v>
      </c>
      <c r="G121" s="58">
        <v>76</v>
      </c>
      <c r="H121" s="58" t="s">
        <v>247</v>
      </c>
      <c r="I121" s="58">
        <v>71</v>
      </c>
      <c r="J121" s="58">
        <v>95</v>
      </c>
      <c r="K121" s="58">
        <v>64</v>
      </c>
      <c r="L121" s="58">
        <v>51</v>
      </c>
      <c r="M121" s="58">
        <v>70</v>
      </c>
      <c r="N121" s="58">
        <v>72</v>
      </c>
      <c r="O121" s="59" t="s">
        <v>247</v>
      </c>
      <c r="Q121">
        <v>222.107</v>
      </c>
      <c r="R121" t="s">
        <v>177</v>
      </c>
    </row>
    <row r="122" spans="1:18" x14ac:dyDescent="0.4">
      <c r="A122" s="39">
        <v>412.10599999999999</v>
      </c>
      <c r="B122" s="38" t="str">
        <f t="array" ref="B122">VLOOKUP(A122,$Q$2:$R$187,{2},0)</f>
        <v>전문물리치료</v>
      </c>
      <c r="C122" s="56" t="s">
        <v>247</v>
      </c>
      <c r="D122" s="58">
        <v>83</v>
      </c>
      <c r="E122" s="58">
        <v>71</v>
      </c>
      <c r="F122" s="58" t="s">
        <v>247</v>
      </c>
      <c r="G122" s="58">
        <v>76</v>
      </c>
      <c r="H122" s="58" t="s">
        <v>247</v>
      </c>
      <c r="I122" s="58">
        <v>70</v>
      </c>
      <c r="J122" s="56" t="s">
        <v>247</v>
      </c>
      <c r="K122" s="58">
        <v>91</v>
      </c>
      <c r="L122" s="56" t="s">
        <v>247</v>
      </c>
      <c r="M122" s="58">
        <v>70</v>
      </c>
      <c r="N122" s="56" t="s">
        <v>247</v>
      </c>
      <c r="O122" s="59" t="s">
        <v>247</v>
      </c>
      <c r="Q122">
        <v>222.108</v>
      </c>
      <c r="R122" t="s">
        <v>178</v>
      </c>
    </row>
    <row r="123" spans="1:18" ht="18" thickBot="1" x14ac:dyDescent="0.45">
      <c r="A123" s="40" t="s">
        <v>243</v>
      </c>
      <c r="B123" s="3" t="str">
        <f t="array" ref="B123">VLOOKUP(A123,$Q$2:$R$187,{2},0)</f>
        <v>도로포장장비운용</v>
      </c>
      <c r="C123" s="66" t="s">
        <v>247</v>
      </c>
      <c r="D123" s="66" t="s">
        <v>247</v>
      </c>
      <c r="E123" s="66" t="s">
        <v>247</v>
      </c>
      <c r="F123" s="66" t="s">
        <v>247</v>
      </c>
      <c r="G123" s="66" t="s">
        <v>247</v>
      </c>
      <c r="H123" s="60" t="s">
        <v>247</v>
      </c>
      <c r="I123" s="66" t="s">
        <v>247</v>
      </c>
      <c r="J123" s="60" t="s">
        <v>247</v>
      </c>
      <c r="K123" s="60">
        <v>56</v>
      </c>
      <c r="L123" s="60" t="s">
        <v>247</v>
      </c>
      <c r="M123" s="60" t="s">
        <v>247</v>
      </c>
      <c r="N123" s="60" t="s">
        <v>247</v>
      </c>
      <c r="O123" s="61" t="s">
        <v>247</v>
      </c>
      <c r="Q123">
        <v>222.10900000000001</v>
      </c>
      <c r="R123" t="s">
        <v>179</v>
      </c>
    </row>
    <row r="124" spans="1:18" x14ac:dyDescent="0.4">
      <c r="A124"/>
      <c r="Q124">
        <v>222.113</v>
      </c>
      <c r="R124" t="s">
        <v>180</v>
      </c>
    </row>
    <row r="125" spans="1:18" x14ac:dyDescent="0.4">
      <c r="A125"/>
      <c r="Q125">
        <v>222.114</v>
      </c>
      <c r="R125" t="s">
        <v>241</v>
      </c>
    </row>
    <row r="126" spans="1:18" x14ac:dyDescent="0.4">
      <c r="A126"/>
      <c r="Q126">
        <v>222.11500000000001</v>
      </c>
      <c r="R126" t="s">
        <v>242</v>
      </c>
    </row>
    <row r="127" spans="1:18" x14ac:dyDescent="0.4">
      <c r="A127"/>
      <c r="Q127">
        <v>223.101</v>
      </c>
      <c r="R127" t="s">
        <v>181</v>
      </c>
    </row>
    <row r="128" spans="1:18" x14ac:dyDescent="0.4">
      <c r="A128"/>
      <c r="Q128">
        <v>223.102</v>
      </c>
      <c r="R128" t="s">
        <v>182</v>
      </c>
    </row>
    <row r="129" spans="1:18" x14ac:dyDescent="0.4">
      <c r="A129"/>
      <c r="Q129">
        <v>223.10300000000001</v>
      </c>
      <c r="R129" t="s">
        <v>183</v>
      </c>
    </row>
    <row r="130" spans="1:18" x14ac:dyDescent="0.4">
      <c r="A130"/>
      <c r="Q130">
        <v>223.10400000000001</v>
      </c>
      <c r="R130" t="s">
        <v>184</v>
      </c>
    </row>
    <row r="131" spans="1:18" x14ac:dyDescent="0.4">
      <c r="A131"/>
      <c r="Q131">
        <v>223.10499999999999</v>
      </c>
      <c r="R131" t="s">
        <v>185</v>
      </c>
    </row>
    <row r="132" spans="1:18" x14ac:dyDescent="0.4">
      <c r="A132"/>
      <c r="Q132">
        <v>223.10599999999999</v>
      </c>
      <c r="R132" t="s">
        <v>186</v>
      </c>
    </row>
    <row r="133" spans="1:18" x14ac:dyDescent="0.4">
      <c r="A133"/>
      <c r="Q133">
        <v>223.107</v>
      </c>
      <c r="R133" t="s">
        <v>187</v>
      </c>
    </row>
    <row r="134" spans="1:18" x14ac:dyDescent="0.4">
      <c r="A134"/>
      <c r="Q134">
        <v>223.108</v>
      </c>
      <c r="R134" t="s">
        <v>188</v>
      </c>
    </row>
    <row r="135" spans="1:18" x14ac:dyDescent="0.4">
      <c r="A135"/>
      <c r="Q135">
        <v>224.101</v>
      </c>
      <c r="R135" t="s">
        <v>189</v>
      </c>
    </row>
    <row r="136" spans="1:18" x14ac:dyDescent="0.4">
      <c r="A136"/>
      <c r="Q136">
        <v>224.102</v>
      </c>
      <c r="R136" t="s">
        <v>190</v>
      </c>
    </row>
    <row r="137" spans="1:18" x14ac:dyDescent="0.4">
      <c r="A137"/>
      <c r="Q137">
        <v>224.10300000000001</v>
      </c>
      <c r="R137" t="s">
        <v>191</v>
      </c>
    </row>
    <row r="138" spans="1:18" x14ac:dyDescent="0.4">
      <c r="A138"/>
      <c r="Q138">
        <v>224.10400000000001</v>
      </c>
      <c r="R138" t="s">
        <v>192</v>
      </c>
    </row>
    <row r="139" spans="1:18" x14ac:dyDescent="0.4">
      <c r="A139"/>
      <c r="Q139">
        <v>224.10499999999999</v>
      </c>
      <c r="R139" t="s">
        <v>193</v>
      </c>
    </row>
    <row r="140" spans="1:18" x14ac:dyDescent="0.4">
      <c r="A140"/>
      <c r="Q140">
        <v>224.10599999999999</v>
      </c>
      <c r="R140" t="s">
        <v>194</v>
      </c>
    </row>
    <row r="141" spans="1:18" x14ac:dyDescent="0.4">
      <c r="A141"/>
      <c r="Q141">
        <v>224.107</v>
      </c>
      <c r="R141" t="s">
        <v>195</v>
      </c>
    </row>
    <row r="142" spans="1:18" x14ac:dyDescent="0.4">
      <c r="A142"/>
      <c r="Q142">
        <v>225.101</v>
      </c>
      <c r="R142" t="s">
        <v>196</v>
      </c>
    </row>
    <row r="143" spans="1:18" x14ac:dyDescent="0.4">
      <c r="A143"/>
      <c r="Q143">
        <v>225.102</v>
      </c>
      <c r="R143" t="s">
        <v>197</v>
      </c>
    </row>
    <row r="144" spans="1:18" x14ac:dyDescent="0.4">
      <c r="A144"/>
      <c r="Q144">
        <v>225.10300000000001</v>
      </c>
      <c r="R144" t="s">
        <v>198</v>
      </c>
    </row>
    <row r="145" spans="1:18" x14ac:dyDescent="0.4">
      <c r="A145"/>
      <c r="Q145">
        <v>226.101</v>
      </c>
      <c r="R145" t="s">
        <v>199</v>
      </c>
    </row>
    <row r="146" spans="1:18" x14ac:dyDescent="0.4">
      <c r="A146"/>
      <c r="Q146">
        <v>231.101</v>
      </c>
      <c r="R146" t="s">
        <v>200</v>
      </c>
    </row>
    <row r="147" spans="1:18" x14ac:dyDescent="0.4">
      <c r="A147"/>
      <c r="Q147">
        <v>231.102</v>
      </c>
      <c r="R147" t="s">
        <v>201</v>
      </c>
    </row>
    <row r="148" spans="1:18" x14ac:dyDescent="0.4">
      <c r="A148"/>
      <c r="Q148">
        <v>231.10300000000001</v>
      </c>
      <c r="R148" t="s">
        <v>202</v>
      </c>
    </row>
    <row r="149" spans="1:18" x14ac:dyDescent="0.4">
      <c r="A149"/>
      <c r="Q149">
        <v>231.10400000000001</v>
      </c>
      <c r="R149" t="s">
        <v>203</v>
      </c>
    </row>
    <row r="150" spans="1:18" x14ac:dyDescent="0.4">
      <c r="A150"/>
      <c r="Q150">
        <v>231.10599999999999</v>
      </c>
      <c r="R150" t="s">
        <v>204</v>
      </c>
    </row>
    <row r="151" spans="1:18" x14ac:dyDescent="0.4">
      <c r="A151"/>
      <c r="Q151">
        <v>231.107</v>
      </c>
      <c r="R151" t="s">
        <v>205</v>
      </c>
    </row>
    <row r="152" spans="1:18" x14ac:dyDescent="0.4">
      <c r="A152"/>
      <c r="Q152">
        <v>241.1</v>
      </c>
      <c r="R152" t="s">
        <v>206</v>
      </c>
    </row>
    <row r="153" spans="1:18" x14ac:dyDescent="0.4">
      <c r="A153"/>
      <c r="Q153">
        <v>241.101</v>
      </c>
      <c r="R153" t="s">
        <v>207</v>
      </c>
    </row>
    <row r="154" spans="1:18" x14ac:dyDescent="0.4">
      <c r="A154"/>
      <c r="Q154">
        <v>241.102</v>
      </c>
      <c r="R154" t="s">
        <v>208</v>
      </c>
    </row>
    <row r="155" spans="1:18" x14ac:dyDescent="0.4">
      <c r="A155"/>
      <c r="Q155">
        <v>241.10300000000001</v>
      </c>
      <c r="R155" t="s">
        <v>209</v>
      </c>
    </row>
    <row r="156" spans="1:18" x14ac:dyDescent="0.4">
      <c r="A156"/>
      <c r="Q156">
        <v>241.10400000000001</v>
      </c>
      <c r="R156" t="s">
        <v>210</v>
      </c>
    </row>
    <row r="157" spans="1:18" x14ac:dyDescent="0.4">
      <c r="A157"/>
      <c r="Q157">
        <v>241.10499999999999</v>
      </c>
      <c r="R157" t="s">
        <v>211</v>
      </c>
    </row>
    <row r="158" spans="1:18" x14ac:dyDescent="0.4">
      <c r="A158"/>
      <c r="Q158">
        <v>241.10599999999999</v>
      </c>
      <c r="R158" t="s">
        <v>212</v>
      </c>
    </row>
    <row r="159" spans="1:18" x14ac:dyDescent="0.4">
      <c r="A159"/>
      <c r="Q159">
        <v>241.107</v>
      </c>
      <c r="R159" t="s">
        <v>213</v>
      </c>
    </row>
    <row r="160" spans="1:18" x14ac:dyDescent="0.4">
      <c r="A160"/>
      <c r="Q160">
        <v>241.108</v>
      </c>
      <c r="R160" t="s">
        <v>214</v>
      </c>
    </row>
    <row r="161" spans="1:18" x14ac:dyDescent="0.4">
      <c r="A161"/>
      <c r="Q161">
        <v>241.10900000000001</v>
      </c>
      <c r="R161" t="s">
        <v>215</v>
      </c>
    </row>
    <row r="162" spans="1:18" x14ac:dyDescent="0.4">
      <c r="A162"/>
      <c r="Q162">
        <v>241.113</v>
      </c>
      <c r="R162" t="s">
        <v>216</v>
      </c>
    </row>
    <row r="163" spans="1:18" x14ac:dyDescent="0.4">
      <c r="A163"/>
      <c r="Q163">
        <v>242.101</v>
      </c>
      <c r="R163" t="s">
        <v>217</v>
      </c>
    </row>
    <row r="164" spans="1:18" x14ac:dyDescent="0.4">
      <c r="A164"/>
      <c r="Q164">
        <v>243.101</v>
      </c>
      <c r="R164" t="s">
        <v>218</v>
      </c>
    </row>
    <row r="165" spans="1:18" x14ac:dyDescent="0.4">
      <c r="A165"/>
      <c r="Q165">
        <v>243.102</v>
      </c>
      <c r="R165" t="s">
        <v>219</v>
      </c>
    </row>
    <row r="166" spans="1:18" x14ac:dyDescent="0.4">
      <c r="A166"/>
      <c r="Q166">
        <v>311.101</v>
      </c>
      <c r="R166" t="s">
        <v>220</v>
      </c>
    </row>
    <row r="167" spans="1:18" x14ac:dyDescent="0.4">
      <c r="A167"/>
      <c r="Q167">
        <v>321.101</v>
      </c>
      <c r="R167" t="s">
        <v>221</v>
      </c>
    </row>
    <row r="168" spans="1:18" x14ac:dyDescent="0.4">
      <c r="A168"/>
      <c r="Q168">
        <v>331.101</v>
      </c>
      <c r="R168" t="s">
        <v>222</v>
      </c>
    </row>
    <row r="169" spans="1:18" x14ac:dyDescent="0.4">
      <c r="A169"/>
      <c r="Q169">
        <v>341.101</v>
      </c>
      <c r="R169" t="s">
        <v>223</v>
      </c>
    </row>
    <row r="170" spans="1:18" x14ac:dyDescent="0.4">
      <c r="A170"/>
      <c r="Q170">
        <v>341.10199999999998</v>
      </c>
      <c r="R170" t="s">
        <v>224</v>
      </c>
    </row>
    <row r="171" spans="1:18" x14ac:dyDescent="0.4">
      <c r="A171"/>
      <c r="Q171">
        <v>341.10300000000001</v>
      </c>
      <c r="R171" t="s">
        <v>225</v>
      </c>
    </row>
    <row r="172" spans="1:18" x14ac:dyDescent="0.4">
      <c r="A172"/>
      <c r="Q172">
        <v>411.101</v>
      </c>
      <c r="R172" t="s">
        <v>226</v>
      </c>
    </row>
    <row r="173" spans="1:18" x14ac:dyDescent="0.4">
      <c r="A173"/>
      <c r="Q173">
        <v>411.10199999999998</v>
      </c>
      <c r="R173" t="s">
        <v>227</v>
      </c>
    </row>
    <row r="174" spans="1:18" x14ac:dyDescent="0.4">
      <c r="A174"/>
      <c r="Q174">
        <v>411.10300000000001</v>
      </c>
      <c r="R174" t="s">
        <v>228</v>
      </c>
    </row>
    <row r="175" spans="1:18" x14ac:dyDescent="0.4">
      <c r="A175"/>
      <c r="Q175">
        <v>411.10399999999998</v>
      </c>
      <c r="R175" t="s">
        <v>229</v>
      </c>
    </row>
    <row r="176" spans="1:18" x14ac:dyDescent="0.4">
      <c r="A176"/>
      <c r="Q176">
        <v>411.10500000000002</v>
      </c>
      <c r="R176" t="s">
        <v>230</v>
      </c>
    </row>
    <row r="177" spans="1:18" x14ac:dyDescent="0.4">
      <c r="A177"/>
      <c r="Q177">
        <v>411.10599999999999</v>
      </c>
      <c r="R177" t="s">
        <v>231</v>
      </c>
    </row>
    <row r="178" spans="1:18" x14ac:dyDescent="0.4">
      <c r="A178"/>
      <c r="Q178">
        <v>411.10700000000003</v>
      </c>
      <c r="R178" t="s">
        <v>232</v>
      </c>
    </row>
    <row r="179" spans="1:18" x14ac:dyDescent="0.4">
      <c r="A179"/>
      <c r="Q179">
        <v>411.108</v>
      </c>
      <c r="R179" t="s">
        <v>233</v>
      </c>
    </row>
    <row r="180" spans="1:18" x14ac:dyDescent="0.4">
      <c r="A180"/>
      <c r="Q180">
        <v>412.101</v>
      </c>
      <c r="R180" t="s">
        <v>234</v>
      </c>
    </row>
    <row r="181" spans="1:18" x14ac:dyDescent="0.4">
      <c r="A181"/>
      <c r="Q181">
        <v>412.10199999999998</v>
      </c>
      <c r="R181" t="s">
        <v>235</v>
      </c>
    </row>
    <row r="182" spans="1:18" x14ac:dyDescent="0.4">
      <c r="A182"/>
      <c r="Q182">
        <v>412.10300000000001</v>
      </c>
      <c r="R182" t="s">
        <v>236</v>
      </c>
    </row>
    <row r="183" spans="1:18" x14ac:dyDescent="0.4">
      <c r="A183"/>
      <c r="Q183">
        <v>412.10399999999998</v>
      </c>
      <c r="R183" t="s">
        <v>237</v>
      </c>
    </row>
    <row r="184" spans="1:18" x14ac:dyDescent="0.4">
      <c r="A184"/>
      <c r="Q184">
        <v>412.10500000000002</v>
      </c>
      <c r="R184" t="s">
        <v>238</v>
      </c>
    </row>
    <row r="185" spans="1:18" x14ac:dyDescent="0.4">
      <c r="A185"/>
      <c r="Q185">
        <v>412.10599999999999</v>
      </c>
      <c r="R185" t="s">
        <v>239</v>
      </c>
    </row>
    <row r="186" spans="1:18" x14ac:dyDescent="0.4">
      <c r="A186"/>
      <c r="Q186">
        <v>461.101</v>
      </c>
      <c r="R186" t="s">
        <v>240</v>
      </c>
    </row>
    <row r="187" spans="1:18" x14ac:dyDescent="0.4">
      <c r="A187"/>
      <c r="Q187" t="s">
        <v>243</v>
      </c>
      <c r="R187" t="s">
        <v>244</v>
      </c>
    </row>
    <row r="188" spans="1:18" x14ac:dyDescent="0.4">
      <c r="A188"/>
    </row>
    <row r="189" spans="1:18" x14ac:dyDescent="0.4">
      <c r="A189"/>
    </row>
    <row r="190" spans="1:18" x14ac:dyDescent="0.4">
      <c r="A190"/>
    </row>
    <row r="191" spans="1:18" x14ac:dyDescent="0.4">
      <c r="A191"/>
    </row>
    <row r="192" spans="1:18" x14ac:dyDescent="0.4">
      <c r="A192"/>
    </row>
    <row r="193" spans="1:1" x14ac:dyDescent="0.4">
      <c r="A193"/>
    </row>
    <row r="194" spans="1:1" x14ac:dyDescent="0.4">
      <c r="A194"/>
    </row>
    <row r="195" spans="1:1" x14ac:dyDescent="0.4">
      <c r="A195"/>
    </row>
    <row r="196" spans="1:1" x14ac:dyDescent="0.4">
      <c r="A196"/>
    </row>
    <row r="197" spans="1:1" x14ac:dyDescent="0.4">
      <c r="A197"/>
    </row>
    <row r="198" spans="1:1" x14ac:dyDescent="0.4">
      <c r="A198"/>
    </row>
    <row r="199" spans="1:1" x14ac:dyDescent="0.4">
      <c r="A199"/>
    </row>
    <row r="200" spans="1:1" x14ac:dyDescent="0.4">
      <c r="A200"/>
    </row>
    <row r="201" spans="1:1" x14ac:dyDescent="0.4">
      <c r="A201"/>
    </row>
    <row r="202" spans="1:1" x14ac:dyDescent="0.4">
      <c r="A202"/>
    </row>
    <row r="203" spans="1:1" x14ac:dyDescent="0.4">
      <c r="A203"/>
    </row>
    <row r="204" spans="1:1" x14ac:dyDescent="0.4">
      <c r="A204"/>
    </row>
    <row r="205" spans="1:1" x14ac:dyDescent="0.4">
      <c r="A205"/>
    </row>
    <row r="206" spans="1:1" x14ac:dyDescent="0.4">
      <c r="A206"/>
    </row>
    <row r="207" spans="1:1" x14ac:dyDescent="0.4">
      <c r="A207"/>
    </row>
    <row r="208" spans="1:1" x14ac:dyDescent="0.4">
      <c r="A208"/>
    </row>
    <row r="209" spans="1:1" x14ac:dyDescent="0.4">
      <c r="A209"/>
    </row>
    <row r="210" spans="1:1" x14ac:dyDescent="0.4">
      <c r="A210"/>
    </row>
    <row r="211" spans="1:1" x14ac:dyDescent="0.4">
      <c r="A211"/>
    </row>
    <row r="212" spans="1:1" x14ac:dyDescent="0.4">
      <c r="A212"/>
    </row>
    <row r="213" spans="1:1" x14ac:dyDescent="0.4">
      <c r="A213"/>
    </row>
    <row r="214" spans="1:1" x14ac:dyDescent="0.4">
      <c r="A214"/>
    </row>
    <row r="215" spans="1:1" x14ac:dyDescent="0.4">
      <c r="A215"/>
    </row>
    <row r="216" spans="1:1" x14ac:dyDescent="0.4">
      <c r="A216"/>
    </row>
    <row r="217" spans="1:1" x14ac:dyDescent="0.4">
      <c r="A217"/>
    </row>
    <row r="218" spans="1:1" x14ac:dyDescent="0.4">
      <c r="A218"/>
    </row>
    <row r="219" spans="1:1" x14ac:dyDescent="0.4">
      <c r="A219"/>
    </row>
    <row r="220" spans="1:1" x14ac:dyDescent="0.4">
      <c r="A220"/>
    </row>
    <row r="221" spans="1:1" x14ac:dyDescent="0.4">
      <c r="A221"/>
    </row>
    <row r="222" spans="1:1" x14ac:dyDescent="0.4">
      <c r="A222"/>
    </row>
    <row r="223" spans="1:1" x14ac:dyDescent="0.4">
      <c r="A223"/>
    </row>
    <row r="224" spans="1:1" x14ac:dyDescent="0.4">
      <c r="A224"/>
    </row>
    <row r="225" spans="1:1" x14ac:dyDescent="0.4">
      <c r="A225"/>
    </row>
    <row r="226" spans="1:1" x14ac:dyDescent="0.4">
      <c r="A226"/>
    </row>
    <row r="227" spans="1:1" x14ac:dyDescent="0.4">
      <c r="A227"/>
    </row>
    <row r="228" spans="1:1" x14ac:dyDescent="0.4">
      <c r="A228"/>
    </row>
    <row r="229" spans="1:1" x14ac:dyDescent="0.4">
      <c r="A229"/>
    </row>
    <row r="230" spans="1:1" x14ac:dyDescent="0.4">
      <c r="A230"/>
    </row>
    <row r="231" spans="1:1" x14ac:dyDescent="0.4">
      <c r="A231"/>
    </row>
    <row r="236" spans="1:1" x14ac:dyDescent="0.4">
      <c r="A236"/>
    </row>
    <row r="237" spans="1:1" x14ac:dyDescent="0.4">
      <c r="A237"/>
    </row>
    <row r="238" spans="1:1" x14ac:dyDescent="0.4">
      <c r="A238"/>
    </row>
    <row r="239" spans="1:1" x14ac:dyDescent="0.4">
      <c r="A239"/>
    </row>
    <row r="240" spans="1:1" x14ac:dyDescent="0.4">
      <c r="A240"/>
    </row>
    <row r="241" spans="1:1" x14ac:dyDescent="0.4">
      <c r="A241"/>
    </row>
    <row r="242" spans="1:1" x14ac:dyDescent="0.4">
      <c r="A242"/>
    </row>
    <row r="243" spans="1:1" x14ac:dyDescent="0.4">
      <c r="A243"/>
    </row>
    <row r="244" spans="1:1" x14ac:dyDescent="0.4">
      <c r="A244"/>
    </row>
    <row r="245" spans="1:1" x14ac:dyDescent="0.4">
      <c r="A245"/>
    </row>
    <row r="246" spans="1:1" x14ac:dyDescent="0.4">
      <c r="A246"/>
    </row>
    <row r="247" spans="1:1" x14ac:dyDescent="0.4">
      <c r="A247"/>
    </row>
    <row r="248" spans="1:1" x14ac:dyDescent="0.4">
      <c r="A248"/>
    </row>
    <row r="249" spans="1:1" x14ac:dyDescent="0.4">
      <c r="A249"/>
    </row>
    <row r="250" spans="1:1" x14ac:dyDescent="0.4">
      <c r="A250"/>
    </row>
    <row r="251" spans="1:1" x14ac:dyDescent="0.4">
      <c r="A251"/>
    </row>
    <row r="252" spans="1:1" x14ac:dyDescent="0.4">
      <c r="A252"/>
    </row>
    <row r="253" spans="1:1" x14ac:dyDescent="0.4">
      <c r="A253"/>
    </row>
    <row r="254" spans="1:1" x14ac:dyDescent="0.4">
      <c r="A254"/>
    </row>
    <row r="255" spans="1:1" x14ac:dyDescent="0.4">
      <c r="A255"/>
    </row>
    <row r="256" spans="1:1" x14ac:dyDescent="0.4">
      <c r="A256"/>
    </row>
    <row r="257" spans="1:1" x14ac:dyDescent="0.4">
      <c r="A257"/>
    </row>
    <row r="258" spans="1:1" x14ac:dyDescent="0.4">
      <c r="A258"/>
    </row>
    <row r="259" spans="1:1" x14ac:dyDescent="0.4">
      <c r="A259"/>
    </row>
    <row r="260" spans="1:1" x14ac:dyDescent="0.4">
      <c r="A260"/>
    </row>
    <row r="261" spans="1:1" x14ac:dyDescent="0.4">
      <c r="A261"/>
    </row>
    <row r="262" spans="1:1" x14ac:dyDescent="0.4">
      <c r="A262"/>
    </row>
    <row r="263" spans="1:1" x14ac:dyDescent="0.4">
      <c r="A263"/>
    </row>
    <row r="264" spans="1:1" x14ac:dyDescent="0.4">
      <c r="A264"/>
    </row>
    <row r="265" spans="1:1" x14ac:dyDescent="0.4">
      <c r="A265"/>
    </row>
    <row r="266" spans="1:1" x14ac:dyDescent="0.4">
      <c r="A266"/>
    </row>
    <row r="267" spans="1:1" x14ac:dyDescent="0.4">
      <c r="A267"/>
    </row>
    <row r="268" spans="1:1" x14ac:dyDescent="0.4">
      <c r="A268"/>
    </row>
    <row r="269" spans="1:1" x14ac:dyDescent="0.4">
      <c r="A269"/>
    </row>
    <row r="270" spans="1:1" x14ac:dyDescent="0.4">
      <c r="A270"/>
    </row>
    <row r="271" spans="1:1" x14ac:dyDescent="0.4">
      <c r="A271"/>
    </row>
    <row r="272" spans="1:1" x14ac:dyDescent="0.4">
      <c r="A272"/>
    </row>
    <row r="273" spans="1:1" x14ac:dyDescent="0.4">
      <c r="A273"/>
    </row>
    <row r="274" spans="1:1" x14ac:dyDescent="0.4">
      <c r="A274"/>
    </row>
    <row r="275" spans="1:1" x14ac:dyDescent="0.4">
      <c r="A275"/>
    </row>
    <row r="276" spans="1:1" x14ac:dyDescent="0.4">
      <c r="A276"/>
    </row>
    <row r="277" spans="1:1" x14ac:dyDescent="0.4">
      <c r="A277"/>
    </row>
    <row r="278" spans="1:1" x14ac:dyDescent="0.4">
      <c r="A278"/>
    </row>
    <row r="279" spans="1:1" x14ac:dyDescent="0.4">
      <c r="A279"/>
    </row>
    <row r="280" spans="1:1" x14ac:dyDescent="0.4">
      <c r="A280"/>
    </row>
    <row r="281" spans="1:1" x14ac:dyDescent="0.4">
      <c r="A281"/>
    </row>
    <row r="282" spans="1:1" x14ac:dyDescent="0.4">
      <c r="A282"/>
    </row>
    <row r="283" spans="1:1" x14ac:dyDescent="0.4">
      <c r="A283"/>
    </row>
    <row r="284" spans="1:1" x14ac:dyDescent="0.4">
      <c r="A284"/>
    </row>
    <row r="285" spans="1:1" x14ac:dyDescent="0.4">
      <c r="A285"/>
    </row>
    <row r="286" spans="1:1" x14ac:dyDescent="0.4">
      <c r="A286"/>
    </row>
    <row r="287" spans="1:1" x14ac:dyDescent="0.4">
      <c r="A287"/>
    </row>
    <row r="288" spans="1:1" x14ac:dyDescent="0.4">
      <c r="A288"/>
    </row>
    <row r="289" spans="1:1" x14ac:dyDescent="0.4">
      <c r="A289"/>
    </row>
    <row r="290" spans="1:1" x14ac:dyDescent="0.4">
      <c r="A290"/>
    </row>
    <row r="291" spans="1:1" x14ac:dyDescent="0.4">
      <c r="A291"/>
    </row>
    <row r="292" spans="1:1" x14ac:dyDescent="0.4">
      <c r="A292"/>
    </row>
    <row r="293" spans="1:1" x14ac:dyDescent="0.4">
      <c r="A293"/>
    </row>
    <row r="294" spans="1:1" x14ac:dyDescent="0.4">
      <c r="A294"/>
    </row>
    <row r="295" spans="1:1" x14ac:dyDescent="0.4">
      <c r="A295"/>
    </row>
    <row r="296" spans="1:1" x14ac:dyDescent="0.4">
      <c r="A296"/>
    </row>
    <row r="297" spans="1:1" x14ac:dyDescent="0.4">
      <c r="A297"/>
    </row>
    <row r="298" spans="1:1" x14ac:dyDescent="0.4">
      <c r="A298"/>
    </row>
    <row r="299" spans="1:1" x14ac:dyDescent="0.4">
      <c r="A299"/>
    </row>
    <row r="300" spans="1:1" x14ac:dyDescent="0.4">
      <c r="A300"/>
    </row>
    <row r="301" spans="1:1" x14ac:dyDescent="0.4">
      <c r="A301"/>
    </row>
    <row r="302" spans="1:1" x14ac:dyDescent="0.4">
      <c r="A302"/>
    </row>
    <row r="303" spans="1:1" x14ac:dyDescent="0.4">
      <c r="A303"/>
    </row>
    <row r="304" spans="1:1" x14ac:dyDescent="0.4">
      <c r="A304"/>
    </row>
    <row r="305" spans="1:1" x14ac:dyDescent="0.4">
      <c r="A305"/>
    </row>
    <row r="306" spans="1:1" x14ac:dyDescent="0.4">
      <c r="A306"/>
    </row>
    <row r="307" spans="1:1" x14ac:dyDescent="0.4">
      <c r="A307"/>
    </row>
    <row r="308" spans="1:1" x14ac:dyDescent="0.4">
      <c r="A308"/>
    </row>
    <row r="309" spans="1:1" x14ac:dyDescent="0.4">
      <c r="A309"/>
    </row>
    <row r="310" spans="1:1" x14ac:dyDescent="0.4">
      <c r="A310"/>
    </row>
    <row r="311" spans="1:1" x14ac:dyDescent="0.4">
      <c r="A311"/>
    </row>
    <row r="312" spans="1:1" x14ac:dyDescent="0.4">
      <c r="A312"/>
    </row>
    <row r="313" spans="1:1" x14ac:dyDescent="0.4">
      <c r="A313"/>
    </row>
    <row r="314" spans="1:1" x14ac:dyDescent="0.4">
      <c r="A314"/>
    </row>
    <row r="315" spans="1:1" x14ac:dyDescent="0.4">
      <c r="A315"/>
    </row>
    <row r="316" spans="1:1" x14ac:dyDescent="0.4">
      <c r="A316"/>
    </row>
    <row r="317" spans="1:1" x14ac:dyDescent="0.4">
      <c r="A317"/>
    </row>
    <row r="318" spans="1:1" x14ac:dyDescent="0.4">
      <c r="A318"/>
    </row>
    <row r="319" spans="1:1" x14ac:dyDescent="0.4">
      <c r="A319"/>
    </row>
    <row r="320" spans="1:1" x14ac:dyDescent="0.4">
      <c r="A320"/>
    </row>
    <row r="321" spans="1:1" x14ac:dyDescent="0.4">
      <c r="A321"/>
    </row>
    <row r="322" spans="1:1" x14ac:dyDescent="0.4">
      <c r="A322"/>
    </row>
    <row r="323" spans="1:1" x14ac:dyDescent="0.4">
      <c r="A323"/>
    </row>
    <row r="324" spans="1:1" x14ac:dyDescent="0.4">
      <c r="A324"/>
    </row>
    <row r="325" spans="1:1" x14ac:dyDescent="0.4">
      <c r="A325"/>
    </row>
    <row r="326" spans="1:1" x14ac:dyDescent="0.4">
      <c r="A326"/>
    </row>
    <row r="327" spans="1:1" x14ac:dyDescent="0.4">
      <c r="A327"/>
    </row>
    <row r="328" spans="1:1" x14ac:dyDescent="0.4">
      <c r="A328"/>
    </row>
    <row r="329" spans="1:1" x14ac:dyDescent="0.4">
      <c r="A329"/>
    </row>
    <row r="330" spans="1:1" x14ac:dyDescent="0.4">
      <c r="A330"/>
    </row>
    <row r="331" spans="1:1" x14ac:dyDescent="0.4">
      <c r="A331"/>
    </row>
    <row r="332" spans="1:1" x14ac:dyDescent="0.4">
      <c r="A332"/>
    </row>
    <row r="333" spans="1:1" x14ac:dyDescent="0.4">
      <c r="A333"/>
    </row>
    <row r="334" spans="1:1" x14ac:dyDescent="0.4">
      <c r="A334"/>
    </row>
    <row r="335" spans="1:1" x14ac:dyDescent="0.4">
      <c r="A335"/>
    </row>
    <row r="336" spans="1:1" x14ac:dyDescent="0.4">
      <c r="A336"/>
    </row>
    <row r="337" spans="1:1" x14ac:dyDescent="0.4">
      <c r="A337"/>
    </row>
    <row r="338" spans="1:1" x14ac:dyDescent="0.4">
      <c r="A338"/>
    </row>
    <row r="339" spans="1:1" x14ac:dyDescent="0.4">
      <c r="A339"/>
    </row>
    <row r="340" spans="1:1" x14ac:dyDescent="0.4">
      <c r="A340"/>
    </row>
    <row r="341" spans="1:1" x14ac:dyDescent="0.4">
      <c r="A341"/>
    </row>
    <row r="342" spans="1:1" x14ac:dyDescent="0.4">
      <c r="A342"/>
    </row>
    <row r="343" spans="1:1" x14ac:dyDescent="0.4">
      <c r="A343"/>
    </row>
    <row r="344" spans="1:1" x14ac:dyDescent="0.4">
      <c r="A344"/>
    </row>
    <row r="345" spans="1:1" x14ac:dyDescent="0.4">
      <c r="A345"/>
    </row>
    <row r="346" spans="1:1" x14ac:dyDescent="0.4">
      <c r="A346"/>
    </row>
    <row r="347" spans="1:1" x14ac:dyDescent="0.4">
      <c r="A347"/>
    </row>
    <row r="348" spans="1:1" x14ac:dyDescent="0.4">
      <c r="A348"/>
    </row>
    <row r="349" spans="1:1" x14ac:dyDescent="0.4">
      <c r="A349"/>
    </row>
    <row r="350" spans="1:1" x14ac:dyDescent="0.4">
      <c r="A350"/>
    </row>
    <row r="351" spans="1:1" x14ac:dyDescent="0.4">
      <c r="A351"/>
    </row>
    <row r="352" spans="1:1" x14ac:dyDescent="0.4">
      <c r="A352"/>
    </row>
    <row r="353" spans="1:1" x14ac:dyDescent="0.4">
      <c r="A353"/>
    </row>
    <row r="354" spans="1:1" x14ac:dyDescent="0.4">
      <c r="A354"/>
    </row>
    <row r="355" spans="1:1" x14ac:dyDescent="0.4">
      <c r="A355"/>
    </row>
    <row r="356" spans="1:1" x14ac:dyDescent="0.4">
      <c r="A356"/>
    </row>
    <row r="357" spans="1:1" x14ac:dyDescent="0.4">
      <c r="A357"/>
    </row>
    <row r="358" spans="1:1" x14ac:dyDescent="0.4">
      <c r="A358"/>
    </row>
    <row r="359" spans="1:1" x14ac:dyDescent="0.4">
      <c r="A359"/>
    </row>
    <row r="360" spans="1:1" x14ac:dyDescent="0.4">
      <c r="A360"/>
    </row>
    <row r="361" spans="1:1" x14ac:dyDescent="0.4">
      <c r="A361"/>
    </row>
    <row r="362" spans="1:1" x14ac:dyDescent="0.4">
      <c r="A362"/>
    </row>
    <row r="363" spans="1:1" x14ac:dyDescent="0.4">
      <c r="A363"/>
    </row>
    <row r="364" spans="1:1" x14ac:dyDescent="0.4">
      <c r="A364"/>
    </row>
    <row r="365" spans="1:1" x14ac:dyDescent="0.4">
      <c r="A365"/>
    </row>
    <row r="366" spans="1:1" x14ac:dyDescent="0.4">
      <c r="A366"/>
    </row>
    <row r="367" spans="1:1" x14ac:dyDescent="0.4">
      <c r="A367"/>
    </row>
    <row r="368" spans="1:1" x14ac:dyDescent="0.4">
      <c r="A368"/>
    </row>
    <row r="369" spans="1:1" x14ac:dyDescent="0.4">
      <c r="A369"/>
    </row>
    <row r="370" spans="1:1" x14ac:dyDescent="0.4">
      <c r="A370"/>
    </row>
    <row r="371" spans="1:1" x14ac:dyDescent="0.4">
      <c r="A371"/>
    </row>
    <row r="372" spans="1:1" x14ac:dyDescent="0.4">
      <c r="A372"/>
    </row>
    <row r="373" spans="1:1" x14ac:dyDescent="0.4">
      <c r="A373"/>
    </row>
    <row r="374" spans="1:1" x14ac:dyDescent="0.4">
      <c r="A374"/>
    </row>
    <row r="375" spans="1:1" x14ac:dyDescent="0.4">
      <c r="A375"/>
    </row>
    <row r="376" spans="1:1" x14ac:dyDescent="0.4">
      <c r="A376"/>
    </row>
    <row r="377" spans="1:1" x14ac:dyDescent="0.4">
      <c r="A377"/>
    </row>
    <row r="378" spans="1:1" x14ac:dyDescent="0.4">
      <c r="A378"/>
    </row>
    <row r="379" spans="1:1" x14ac:dyDescent="0.4">
      <c r="A379"/>
    </row>
    <row r="380" spans="1:1" x14ac:dyDescent="0.4">
      <c r="A380"/>
    </row>
    <row r="381" spans="1:1" x14ac:dyDescent="0.4">
      <c r="A381"/>
    </row>
    <row r="382" spans="1:1" x14ac:dyDescent="0.4">
      <c r="A382"/>
    </row>
    <row r="383" spans="1:1" x14ac:dyDescent="0.4">
      <c r="A383"/>
    </row>
    <row r="384" spans="1:1" x14ac:dyDescent="0.4">
      <c r="A384"/>
    </row>
    <row r="385" spans="1:1" x14ac:dyDescent="0.4">
      <c r="A385"/>
    </row>
    <row r="386" spans="1:1" x14ac:dyDescent="0.4">
      <c r="A386"/>
    </row>
    <row r="387" spans="1:1" x14ac:dyDescent="0.4">
      <c r="A387"/>
    </row>
    <row r="388" spans="1:1" x14ac:dyDescent="0.4">
      <c r="A388"/>
    </row>
    <row r="389" spans="1:1" x14ac:dyDescent="0.4">
      <c r="A389"/>
    </row>
    <row r="390" spans="1:1" x14ac:dyDescent="0.4">
      <c r="A390"/>
    </row>
    <row r="391" spans="1:1" x14ac:dyDescent="0.4">
      <c r="A391"/>
    </row>
    <row r="392" spans="1:1" x14ac:dyDescent="0.4">
      <c r="A392"/>
    </row>
    <row r="393" spans="1:1" x14ac:dyDescent="0.4">
      <c r="A393"/>
    </row>
    <row r="394" spans="1:1" x14ac:dyDescent="0.4">
      <c r="A394"/>
    </row>
    <row r="395" spans="1:1" x14ac:dyDescent="0.4">
      <c r="A395"/>
    </row>
    <row r="396" spans="1:1" x14ac:dyDescent="0.4">
      <c r="A396"/>
    </row>
    <row r="397" spans="1:1" x14ac:dyDescent="0.4">
      <c r="A397"/>
    </row>
    <row r="398" spans="1:1" x14ac:dyDescent="0.4">
      <c r="A398"/>
    </row>
    <row r="399" spans="1:1" x14ac:dyDescent="0.4">
      <c r="A399"/>
    </row>
    <row r="400" spans="1:1" x14ac:dyDescent="0.4">
      <c r="A400"/>
    </row>
    <row r="401" spans="1:1" x14ac:dyDescent="0.4">
      <c r="A401"/>
    </row>
    <row r="402" spans="1:1" x14ac:dyDescent="0.4">
      <c r="A402"/>
    </row>
    <row r="403" spans="1:1" x14ac:dyDescent="0.4">
      <c r="A403"/>
    </row>
    <row r="404" spans="1:1" x14ac:dyDescent="0.4">
      <c r="A404"/>
    </row>
    <row r="405" spans="1:1" x14ac:dyDescent="0.4">
      <c r="A405"/>
    </row>
    <row r="406" spans="1:1" x14ac:dyDescent="0.4">
      <c r="A406"/>
    </row>
    <row r="407" spans="1:1" x14ac:dyDescent="0.4">
      <c r="A407"/>
    </row>
    <row r="408" spans="1:1" x14ac:dyDescent="0.4">
      <c r="A408"/>
    </row>
    <row r="409" spans="1:1" x14ac:dyDescent="0.4">
      <c r="A409"/>
    </row>
    <row r="410" spans="1:1" x14ac:dyDescent="0.4">
      <c r="A410"/>
    </row>
    <row r="411" spans="1:1" x14ac:dyDescent="0.4">
      <c r="A411"/>
    </row>
    <row r="412" spans="1:1" x14ac:dyDescent="0.4">
      <c r="A412"/>
    </row>
    <row r="413" spans="1:1" x14ac:dyDescent="0.4">
      <c r="A413"/>
    </row>
    <row r="414" spans="1:1" x14ac:dyDescent="0.4">
      <c r="A414"/>
    </row>
    <row r="415" spans="1:1" x14ac:dyDescent="0.4">
      <c r="A415"/>
    </row>
    <row r="416" spans="1:1" x14ac:dyDescent="0.4">
      <c r="A416"/>
    </row>
    <row r="417" spans="1:1" x14ac:dyDescent="0.4">
      <c r="A417"/>
    </row>
    <row r="418" spans="1:1" x14ac:dyDescent="0.4">
      <c r="A418"/>
    </row>
    <row r="419" spans="1:1" x14ac:dyDescent="0.4">
      <c r="A419"/>
    </row>
    <row r="420" spans="1:1" x14ac:dyDescent="0.4">
      <c r="A420"/>
    </row>
    <row r="421" spans="1:1" x14ac:dyDescent="0.4">
      <c r="A421"/>
    </row>
    <row r="422" spans="1:1" x14ac:dyDescent="0.4">
      <c r="A422"/>
    </row>
    <row r="423" spans="1:1" x14ac:dyDescent="0.4">
      <c r="A423"/>
    </row>
    <row r="424" spans="1:1" x14ac:dyDescent="0.4">
      <c r="A424"/>
    </row>
    <row r="425" spans="1:1" x14ac:dyDescent="0.4">
      <c r="A425"/>
    </row>
    <row r="426" spans="1:1" x14ac:dyDescent="0.4">
      <c r="A426"/>
    </row>
    <row r="427" spans="1:1" x14ac:dyDescent="0.4">
      <c r="A427"/>
    </row>
    <row r="428" spans="1:1" x14ac:dyDescent="0.4">
      <c r="A428"/>
    </row>
    <row r="429" spans="1:1" x14ac:dyDescent="0.4">
      <c r="A429"/>
    </row>
    <row r="430" spans="1:1" x14ac:dyDescent="0.4">
      <c r="A430"/>
    </row>
    <row r="431" spans="1:1" x14ac:dyDescent="0.4">
      <c r="A431"/>
    </row>
    <row r="432" spans="1:1" x14ac:dyDescent="0.4">
      <c r="A432"/>
    </row>
    <row r="433" spans="1:1" x14ac:dyDescent="0.4">
      <c r="A433"/>
    </row>
    <row r="434" spans="1:1" x14ac:dyDescent="0.4">
      <c r="A434"/>
    </row>
    <row r="435" spans="1:1" x14ac:dyDescent="0.4">
      <c r="A435"/>
    </row>
    <row r="436" spans="1:1" x14ac:dyDescent="0.4">
      <c r="A436"/>
    </row>
    <row r="437" spans="1:1" x14ac:dyDescent="0.4">
      <c r="A437"/>
    </row>
    <row r="438" spans="1:1" x14ac:dyDescent="0.4">
      <c r="A438"/>
    </row>
    <row r="439" spans="1:1" x14ac:dyDescent="0.4">
      <c r="A439"/>
    </row>
    <row r="440" spans="1:1" x14ac:dyDescent="0.4">
      <c r="A440"/>
    </row>
    <row r="441" spans="1:1" x14ac:dyDescent="0.4">
      <c r="A441"/>
    </row>
    <row r="442" spans="1:1" x14ac:dyDescent="0.4">
      <c r="A442"/>
    </row>
    <row r="443" spans="1:1" x14ac:dyDescent="0.4">
      <c r="A443"/>
    </row>
    <row r="444" spans="1:1" x14ac:dyDescent="0.4">
      <c r="A444"/>
    </row>
    <row r="445" spans="1:1" x14ac:dyDescent="0.4">
      <c r="A445"/>
    </row>
    <row r="446" spans="1:1" x14ac:dyDescent="0.4">
      <c r="A446"/>
    </row>
    <row r="447" spans="1:1" x14ac:dyDescent="0.4">
      <c r="A447"/>
    </row>
    <row r="448" spans="1:1" x14ac:dyDescent="0.4">
      <c r="A448"/>
    </row>
    <row r="449" spans="1:1" x14ac:dyDescent="0.4">
      <c r="A449"/>
    </row>
    <row r="450" spans="1:1" x14ac:dyDescent="0.4">
      <c r="A450"/>
    </row>
    <row r="451" spans="1:1" x14ac:dyDescent="0.4">
      <c r="A451"/>
    </row>
    <row r="452" spans="1:1" x14ac:dyDescent="0.4">
      <c r="A452"/>
    </row>
    <row r="453" spans="1:1" x14ac:dyDescent="0.4">
      <c r="A453"/>
    </row>
    <row r="454" spans="1:1" x14ac:dyDescent="0.4">
      <c r="A454"/>
    </row>
    <row r="455" spans="1:1" x14ac:dyDescent="0.4">
      <c r="A455"/>
    </row>
    <row r="456" spans="1:1" x14ac:dyDescent="0.4">
      <c r="A456"/>
    </row>
    <row r="457" spans="1:1" x14ac:dyDescent="0.4">
      <c r="A457"/>
    </row>
    <row r="458" spans="1:1" x14ac:dyDescent="0.4">
      <c r="A458"/>
    </row>
    <row r="459" spans="1:1" x14ac:dyDescent="0.4">
      <c r="A459"/>
    </row>
    <row r="460" spans="1:1" x14ac:dyDescent="0.4">
      <c r="A460"/>
    </row>
    <row r="461" spans="1:1" x14ac:dyDescent="0.4">
      <c r="A461"/>
    </row>
    <row r="462" spans="1:1" x14ac:dyDescent="0.4">
      <c r="A462"/>
    </row>
    <row r="463" spans="1:1" x14ac:dyDescent="0.4">
      <c r="A463"/>
    </row>
    <row r="464" spans="1:1" x14ac:dyDescent="0.4">
      <c r="A464"/>
    </row>
    <row r="465" spans="1:1" x14ac:dyDescent="0.4">
      <c r="A465"/>
    </row>
    <row r="466" spans="1:1" x14ac:dyDescent="0.4">
      <c r="A466"/>
    </row>
    <row r="467" spans="1:1" x14ac:dyDescent="0.4">
      <c r="A467"/>
    </row>
    <row r="468" spans="1:1" x14ac:dyDescent="0.4">
      <c r="A468"/>
    </row>
    <row r="469" spans="1:1" x14ac:dyDescent="0.4">
      <c r="A469"/>
    </row>
    <row r="470" spans="1:1" x14ac:dyDescent="0.4">
      <c r="A470"/>
    </row>
    <row r="471" spans="1:1" x14ac:dyDescent="0.4">
      <c r="A471"/>
    </row>
    <row r="472" spans="1:1" x14ac:dyDescent="0.4">
      <c r="A472"/>
    </row>
    <row r="473" spans="1:1" x14ac:dyDescent="0.4">
      <c r="A473"/>
    </row>
    <row r="474" spans="1:1" x14ac:dyDescent="0.4">
      <c r="A474"/>
    </row>
    <row r="475" spans="1:1" x14ac:dyDescent="0.4">
      <c r="A475"/>
    </row>
    <row r="476" spans="1:1" x14ac:dyDescent="0.4">
      <c r="A476"/>
    </row>
    <row r="477" spans="1:1" x14ac:dyDescent="0.4">
      <c r="A477"/>
    </row>
    <row r="478" spans="1:1" x14ac:dyDescent="0.4">
      <c r="A478"/>
    </row>
    <row r="479" spans="1:1" x14ac:dyDescent="0.4">
      <c r="A479"/>
    </row>
    <row r="480" spans="1:1" x14ac:dyDescent="0.4">
      <c r="A480"/>
    </row>
    <row r="481" spans="1:2" x14ac:dyDescent="0.4">
      <c r="A481"/>
    </row>
    <row r="482" spans="1:2" x14ac:dyDescent="0.4">
      <c r="A482" s="37"/>
      <c r="B482" s="34"/>
    </row>
    <row r="483" spans="1:2" x14ac:dyDescent="0.4">
      <c r="A483" s="37"/>
      <c r="B483" s="34"/>
    </row>
    <row r="484" spans="1:2" x14ac:dyDescent="0.4">
      <c r="A484" s="37"/>
      <c r="B484" s="34"/>
    </row>
    <row r="485" spans="1:2" x14ac:dyDescent="0.4">
      <c r="A485" s="37"/>
      <c r="B485" s="34"/>
    </row>
    <row r="486" spans="1:2" x14ac:dyDescent="0.4">
      <c r="A486" s="37"/>
      <c r="B486" s="34"/>
    </row>
    <row r="487" spans="1:2" x14ac:dyDescent="0.4">
      <c r="A487" s="37"/>
      <c r="B487" s="34"/>
    </row>
    <row r="488" spans="1:2" x14ac:dyDescent="0.4">
      <c r="A488" s="37"/>
      <c r="B488" s="34"/>
    </row>
    <row r="489" spans="1:2" x14ac:dyDescent="0.4">
      <c r="A489" s="37"/>
      <c r="B489" s="34"/>
    </row>
    <row r="490" spans="1:2" x14ac:dyDescent="0.4">
      <c r="A490" s="37"/>
      <c r="B490" s="34"/>
    </row>
    <row r="491" spans="1:2" x14ac:dyDescent="0.4">
      <c r="A491" s="37"/>
      <c r="B491" s="34"/>
    </row>
    <row r="492" spans="1:2" x14ac:dyDescent="0.4">
      <c r="A492" s="37"/>
      <c r="B492" s="34"/>
    </row>
    <row r="493" spans="1:2" x14ac:dyDescent="0.4">
      <c r="A493" s="37"/>
      <c r="B493" s="34"/>
    </row>
    <row r="494" spans="1:2" x14ac:dyDescent="0.4">
      <c r="A494" s="37"/>
      <c r="B494" s="34"/>
    </row>
    <row r="495" spans="1:2" x14ac:dyDescent="0.4">
      <c r="A495" s="37"/>
      <c r="B495" s="34"/>
    </row>
    <row r="496" spans="1:2" x14ac:dyDescent="0.4">
      <c r="A496" s="37"/>
      <c r="B496" s="34"/>
    </row>
    <row r="497" spans="1:2" x14ac:dyDescent="0.4">
      <c r="A497" s="37"/>
      <c r="B497" s="34"/>
    </row>
    <row r="498" spans="1:2" x14ac:dyDescent="0.4">
      <c r="A498" s="37"/>
      <c r="B498" s="34"/>
    </row>
    <row r="499" spans="1:2" x14ac:dyDescent="0.4">
      <c r="A499" s="37"/>
      <c r="B499" s="34"/>
    </row>
    <row r="500" spans="1:2" x14ac:dyDescent="0.4">
      <c r="A500" s="37"/>
      <c r="B500" s="34"/>
    </row>
    <row r="501" spans="1:2" x14ac:dyDescent="0.4">
      <c r="A501" s="37"/>
      <c r="B501" s="34"/>
    </row>
    <row r="502" spans="1:2" x14ac:dyDescent="0.4">
      <c r="A502" s="37"/>
      <c r="B502" s="34"/>
    </row>
    <row r="503" spans="1:2" x14ac:dyDescent="0.4">
      <c r="A503" s="37"/>
      <c r="B503" s="34"/>
    </row>
    <row r="504" spans="1:2" x14ac:dyDescent="0.4">
      <c r="A504" s="37"/>
      <c r="B504" s="34"/>
    </row>
    <row r="505" spans="1:2" x14ac:dyDescent="0.4">
      <c r="A505" s="37"/>
      <c r="B505" s="34"/>
    </row>
    <row r="506" spans="1:2" x14ac:dyDescent="0.4">
      <c r="A506" s="37"/>
      <c r="B506" s="34"/>
    </row>
    <row r="507" spans="1:2" x14ac:dyDescent="0.4">
      <c r="A507" s="37"/>
      <c r="B507" s="34"/>
    </row>
    <row r="508" spans="1:2" x14ac:dyDescent="0.4">
      <c r="A508" s="37"/>
      <c r="B508" s="34"/>
    </row>
    <row r="509" spans="1:2" x14ac:dyDescent="0.4">
      <c r="A509" s="37"/>
      <c r="B509" s="34"/>
    </row>
    <row r="510" spans="1:2" x14ac:dyDescent="0.4">
      <c r="A510" s="37"/>
      <c r="B510" s="34"/>
    </row>
    <row r="511" spans="1:2" x14ac:dyDescent="0.4">
      <c r="A511" s="37"/>
      <c r="B511" s="34"/>
    </row>
    <row r="512" spans="1:2" x14ac:dyDescent="0.4">
      <c r="A512" s="37"/>
      <c r="B512" s="34"/>
    </row>
    <row r="513" spans="1:2" x14ac:dyDescent="0.4">
      <c r="A513" s="37"/>
      <c r="B513" s="34"/>
    </row>
    <row r="514" spans="1:2" x14ac:dyDescent="0.4">
      <c r="A514" s="37"/>
      <c r="B514" s="34"/>
    </row>
    <row r="515" spans="1:2" x14ac:dyDescent="0.4">
      <c r="A515" s="37"/>
      <c r="B515" s="34"/>
    </row>
    <row r="516" spans="1:2" x14ac:dyDescent="0.4">
      <c r="A516" s="37"/>
      <c r="B516" s="34"/>
    </row>
    <row r="517" spans="1:2" x14ac:dyDescent="0.4">
      <c r="A517" s="37"/>
      <c r="B517" s="34"/>
    </row>
    <row r="518" spans="1:2" x14ac:dyDescent="0.4">
      <c r="A518" s="37"/>
      <c r="B518" s="34"/>
    </row>
    <row r="519" spans="1:2" x14ac:dyDescent="0.4">
      <c r="A519" s="37"/>
      <c r="B519" s="34"/>
    </row>
    <row r="520" spans="1:2" x14ac:dyDescent="0.4">
      <c r="A520" s="37"/>
      <c r="B520" s="34"/>
    </row>
    <row r="521" spans="1:2" x14ac:dyDescent="0.4">
      <c r="A521" s="37"/>
      <c r="B521" s="34"/>
    </row>
    <row r="522" spans="1:2" x14ac:dyDescent="0.4">
      <c r="A522" s="37"/>
      <c r="B522" s="34"/>
    </row>
    <row r="523" spans="1:2" x14ac:dyDescent="0.4">
      <c r="A523" s="37"/>
      <c r="B523" s="34"/>
    </row>
    <row r="524" spans="1:2" x14ac:dyDescent="0.4">
      <c r="A524" s="37"/>
      <c r="B524" s="34"/>
    </row>
    <row r="525" spans="1:2" x14ac:dyDescent="0.4">
      <c r="A525" s="37"/>
      <c r="B525" s="34"/>
    </row>
    <row r="526" spans="1:2" x14ac:dyDescent="0.4">
      <c r="A526" s="37"/>
      <c r="B526" s="34"/>
    </row>
    <row r="527" spans="1:2" x14ac:dyDescent="0.4">
      <c r="A527" s="37"/>
      <c r="B527" s="34"/>
    </row>
    <row r="528" spans="1:2" x14ac:dyDescent="0.4">
      <c r="A528" s="37"/>
      <c r="B528" s="34"/>
    </row>
    <row r="529" spans="1:2" x14ac:dyDescent="0.4">
      <c r="A529" s="37"/>
      <c r="B529" s="34"/>
    </row>
    <row r="530" spans="1:2" x14ac:dyDescent="0.4">
      <c r="A530" s="37"/>
      <c r="B530" s="34"/>
    </row>
    <row r="531" spans="1:2" x14ac:dyDescent="0.4">
      <c r="A531" s="37"/>
      <c r="B531" s="34"/>
    </row>
    <row r="532" spans="1:2" x14ac:dyDescent="0.4">
      <c r="A532" s="37"/>
      <c r="B532" s="34"/>
    </row>
    <row r="533" spans="1:2" x14ac:dyDescent="0.4">
      <c r="A533" s="37"/>
      <c r="B533" s="34"/>
    </row>
    <row r="534" spans="1:2" x14ac:dyDescent="0.4">
      <c r="A534" s="37"/>
      <c r="B534" s="34"/>
    </row>
    <row r="535" spans="1:2" x14ac:dyDescent="0.4">
      <c r="A535" s="37"/>
      <c r="B535" s="34"/>
    </row>
    <row r="536" spans="1:2" x14ac:dyDescent="0.4">
      <c r="A536" s="37"/>
      <c r="B536" s="34"/>
    </row>
    <row r="537" spans="1:2" x14ac:dyDescent="0.4">
      <c r="A537" s="37"/>
      <c r="B537" s="34"/>
    </row>
    <row r="538" spans="1:2" x14ac:dyDescent="0.4">
      <c r="A538" s="37"/>
      <c r="B538" s="34"/>
    </row>
    <row r="539" spans="1:2" x14ac:dyDescent="0.4">
      <c r="A539" s="37"/>
      <c r="B539" s="34"/>
    </row>
    <row r="540" spans="1:2" x14ac:dyDescent="0.4">
      <c r="A540" s="37"/>
      <c r="B540" s="34"/>
    </row>
    <row r="541" spans="1:2" x14ac:dyDescent="0.4">
      <c r="A541" s="37"/>
      <c r="B541" s="34"/>
    </row>
    <row r="542" spans="1:2" x14ac:dyDescent="0.4">
      <c r="A542" s="37"/>
      <c r="B542" s="34"/>
    </row>
    <row r="543" spans="1:2" x14ac:dyDescent="0.4">
      <c r="A543" s="37"/>
      <c r="B543" s="34"/>
    </row>
    <row r="544" spans="1:2" x14ac:dyDescent="0.4">
      <c r="A544" s="37"/>
      <c r="B544" s="34"/>
    </row>
    <row r="545" spans="1:2" x14ac:dyDescent="0.4">
      <c r="A545" s="37"/>
      <c r="B545" s="34"/>
    </row>
    <row r="546" spans="1:2" x14ac:dyDescent="0.4">
      <c r="A546" s="37"/>
      <c r="B546" s="34"/>
    </row>
    <row r="547" spans="1:2" x14ac:dyDescent="0.4">
      <c r="A547" s="37"/>
      <c r="B547" s="34"/>
    </row>
    <row r="548" spans="1:2" x14ac:dyDescent="0.4">
      <c r="A548" s="37"/>
      <c r="B548" s="34"/>
    </row>
    <row r="549" spans="1:2" x14ac:dyDescent="0.4">
      <c r="A549" s="37"/>
      <c r="B549" s="34"/>
    </row>
    <row r="550" spans="1:2" x14ac:dyDescent="0.4">
      <c r="A550" s="37"/>
      <c r="B550" s="34"/>
    </row>
    <row r="551" spans="1:2" x14ac:dyDescent="0.4">
      <c r="A551" s="37"/>
      <c r="B551" s="34"/>
    </row>
    <row r="552" spans="1:2" x14ac:dyDescent="0.4">
      <c r="A552" s="37"/>
      <c r="B552" s="34"/>
    </row>
    <row r="553" spans="1:2" x14ac:dyDescent="0.4">
      <c r="A553" s="37"/>
      <c r="B553" s="34"/>
    </row>
    <row r="554" spans="1:2" x14ac:dyDescent="0.4">
      <c r="A554" s="37"/>
      <c r="B554" s="34"/>
    </row>
    <row r="555" spans="1:2" x14ac:dyDescent="0.4">
      <c r="A555" s="37"/>
      <c r="B555" s="34"/>
    </row>
    <row r="556" spans="1:2" x14ac:dyDescent="0.4">
      <c r="A556" s="37"/>
      <c r="B556" s="34"/>
    </row>
    <row r="557" spans="1:2" x14ac:dyDescent="0.4">
      <c r="A557" s="37"/>
      <c r="B557" s="34"/>
    </row>
    <row r="558" spans="1:2" x14ac:dyDescent="0.4">
      <c r="A558" s="37"/>
      <c r="B558" s="34"/>
    </row>
    <row r="559" spans="1:2" x14ac:dyDescent="0.4">
      <c r="A559" s="37"/>
      <c r="B559" s="34"/>
    </row>
    <row r="560" spans="1:2" x14ac:dyDescent="0.4">
      <c r="A560" s="37"/>
      <c r="B560" s="34"/>
    </row>
    <row r="561" spans="1:2" x14ac:dyDescent="0.4">
      <c r="A561" s="37"/>
      <c r="B561" s="34"/>
    </row>
    <row r="562" spans="1:2" x14ac:dyDescent="0.4">
      <c r="A562" s="37"/>
      <c r="B562" s="34"/>
    </row>
    <row r="563" spans="1:2" x14ac:dyDescent="0.4">
      <c r="A563" s="37"/>
      <c r="B563" s="34"/>
    </row>
    <row r="564" spans="1:2" x14ac:dyDescent="0.4">
      <c r="A564" s="37"/>
      <c r="B564" s="34"/>
    </row>
    <row r="565" spans="1:2" x14ac:dyDescent="0.4">
      <c r="A565" s="37"/>
      <c r="B565" s="34"/>
    </row>
    <row r="566" spans="1:2" x14ac:dyDescent="0.4">
      <c r="A566" s="37"/>
      <c r="B566" s="34"/>
    </row>
    <row r="567" spans="1:2" x14ac:dyDescent="0.4">
      <c r="A567" s="37"/>
      <c r="B567" s="34"/>
    </row>
    <row r="568" spans="1:2" x14ac:dyDescent="0.4">
      <c r="A568" s="37"/>
      <c r="B568" s="34"/>
    </row>
    <row r="569" spans="1:2" x14ac:dyDescent="0.4">
      <c r="A569" s="37"/>
      <c r="B569" s="34"/>
    </row>
    <row r="570" spans="1:2" x14ac:dyDescent="0.4">
      <c r="A570" s="37"/>
      <c r="B570" s="34"/>
    </row>
    <row r="571" spans="1:2" x14ac:dyDescent="0.4">
      <c r="A571" s="37"/>
      <c r="B571" s="34"/>
    </row>
    <row r="572" spans="1:2" x14ac:dyDescent="0.4">
      <c r="A572" s="37"/>
      <c r="B572" s="34"/>
    </row>
    <row r="573" spans="1:2" x14ac:dyDescent="0.4">
      <c r="A573" s="37"/>
      <c r="B573" s="34"/>
    </row>
    <row r="574" spans="1:2" x14ac:dyDescent="0.4">
      <c r="A574" s="37"/>
      <c r="B574" s="34"/>
    </row>
    <row r="575" spans="1:2" x14ac:dyDescent="0.4">
      <c r="A575" s="37"/>
      <c r="B575" s="34"/>
    </row>
    <row r="576" spans="1:2" x14ac:dyDescent="0.4">
      <c r="A576" s="37"/>
      <c r="B576" s="34"/>
    </row>
    <row r="577" spans="1:2" x14ac:dyDescent="0.4">
      <c r="A577" s="37"/>
      <c r="B577" s="34"/>
    </row>
    <row r="578" spans="1:2" x14ac:dyDescent="0.4">
      <c r="A578" s="37"/>
      <c r="B578" s="34"/>
    </row>
    <row r="579" spans="1:2" x14ac:dyDescent="0.4">
      <c r="A579" s="37"/>
      <c r="B579" s="34"/>
    </row>
    <row r="580" spans="1:2" x14ac:dyDescent="0.4">
      <c r="A580" s="37"/>
      <c r="B580" s="34"/>
    </row>
    <row r="581" spans="1:2" x14ac:dyDescent="0.4">
      <c r="A581" s="37"/>
      <c r="B581" s="34"/>
    </row>
    <row r="582" spans="1:2" x14ac:dyDescent="0.4">
      <c r="A582" s="37"/>
      <c r="B582" s="34"/>
    </row>
    <row r="583" spans="1:2" x14ac:dyDescent="0.4">
      <c r="A583" s="37"/>
      <c r="B583" s="34"/>
    </row>
    <row r="584" spans="1:2" x14ac:dyDescent="0.4">
      <c r="A584" s="37"/>
      <c r="B584" s="34"/>
    </row>
    <row r="585" spans="1:2" x14ac:dyDescent="0.4">
      <c r="A585" s="37"/>
      <c r="B585" s="34"/>
    </row>
    <row r="586" spans="1:2" x14ac:dyDescent="0.4">
      <c r="A586" s="37"/>
      <c r="B586" s="34"/>
    </row>
    <row r="587" spans="1:2" x14ac:dyDescent="0.4">
      <c r="A587" s="37"/>
      <c r="B587" s="34"/>
    </row>
    <row r="588" spans="1:2" x14ac:dyDescent="0.4">
      <c r="A588" s="37"/>
      <c r="B588" s="34"/>
    </row>
    <row r="589" spans="1:2" x14ac:dyDescent="0.4">
      <c r="A589" s="37"/>
      <c r="B589" s="34"/>
    </row>
    <row r="590" spans="1:2" x14ac:dyDescent="0.4">
      <c r="A590" s="37"/>
      <c r="B590" s="34"/>
    </row>
    <row r="591" spans="1:2" x14ac:dyDescent="0.4">
      <c r="A591" s="37"/>
      <c r="B591" s="34"/>
    </row>
    <row r="592" spans="1:2" x14ac:dyDescent="0.4">
      <c r="A592" s="37"/>
      <c r="B592" s="34"/>
    </row>
    <row r="593" spans="1:2" x14ac:dyDescent="0.4">
      <c r="A593" s="37"/>
      <c r="B593" s="34"/>
    </row>
    <row r="594" spans="1:2" x14ac:dyDescent="0.4">
      <c r="A594" s="37"/>
      <c r="B594" s="34"/>
    </row>
    <row r="595" spans="1:2" x14ac:dyDescent="0.4">
      <c r="A595" s="37"/>
      <c r="B595" s="34"/>
    </row>
    <row r="596" spans="1:2" x14ac:dyDescent="0.4">
      <c r="A596" s="37"/>
      <c r="B596" s="34"/>
    </row>
    <row r="597" spans="1:2" x14ac:dyDescent="0.4">
      <c r="A597" s="37"/>
      <c r="B597" s="34"/>
    </row>
    <row r="598" spans="1:2" x14ac:dyDescent="0.4">
      <c r="A598" s="37"/>
      <c r="B598" s="34"/>
    </row>
    <row r="599" spans="1:2" x14ac:dyDescent="0.4">
      <c r="A599" s="37"/>
      <c r="B599" s="34"/>
    </row>
    <row r="600" spans="1:2" x14ac:dyDescent="0.4">
      <c r="A600" s="37"/>
      <c r="B600" s="34"/>
    </row>
    <row r="601" spans="1:2" x14ac:dyDescent="0.4">
      <c r="A601" s="37"/>
      <c r="B601" s="34"/>
    </row>
    <row r="602" spans="1:2" x14ac:dyDescent="0.4">
      <c r="A602" s="37"/>
      <c r="B602" s="34"/>
    </row>
    <row r="603" spans="1:2" x14ac:dyDescent="0.4">
      <c r="A603" s="36"/>
      <c r="B603" s="34"/>
    </row>
    <row r="604" spans="1:2" x14ac:dyDescent="0.4">
      <c r="A604" s="36"/>
      <c r="B604" s="34"/>
    </row>
    <row r="605" spans="1:2" x14ac:dyDescent="0.4">
      <c r="A605" s="36"/>
      <c r="B605" s="34"/>
    </row>
    <row r="606" spans="1:2" x14ac:dyDescent="0.4">
      <c r="A606" s="36"/>
      <c r="B606" s="34"/>
    </row>
    <row r="607" spans="1:2" x14ac:dyDescent="0.4">
      <c r="A607" s="36"/>
      <c r="B607" s="34"/>
    </row>
    <row r="608" spans="1:2" x14ac:dyDescent="0.4">
      <c r="A608" s="36"/>
      <c r="B608" s="34"/>
    </row>
    <row r="609" spans="1:7" x14ac:dyDescent="0.4">
      <c r="A609" s="36"/>
      <c r="B609" s="34"/>
    </row>
    <row r="610" spans="1:7" x14ac:dyDescent="0.4">
      <c r="A610" s="36"/>
      <c r="B610" s="34"/>
    </row>
    <row r="611" spans="1:7" x14ac:dyDescent="0.4">
      <c r="G611" t="s">
        <v>245</v>
      </c>
    </row>
  </sheetData>
  <autoFilter ref="A1:A610" xr:uid="{7772759B-D6C5-434E-8AF9-0AB3C62240A4}"/>
  <sortState xmlns:xlrd2="http://schemas.microsoft.com/office/spreadsheetml/2017/richdata2" ref="A3:B123">
    <sortCondition ref="A3:A123"/>
  </sortState>
  <mergeCells count="1">
    <mergeCell ref="A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해군</vt:lpstr>
      <vt:lpstr>공군</vt:lpstr>
      <vt:lpstr>해병대</vt:lpstr>
      <vt:lpstr>육군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재건 이</dc:creator>
  <cp:lastModifiedBy>재건 이</cp:lastModifiedBy>
  <dcterms:created xsi:type="dcterms:W3CDTF">2026-09-03T01:27:40Z</dcterms:created>
  <dcterms:modified xsi:type="dcterms:W3CDTF">2026-09-04T01:36:50Z</dcterms:modified>
</cp:coreProperties>
</file>